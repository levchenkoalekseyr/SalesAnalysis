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levchenko_ar\Desktop\Собеседование\Готово\"/>
    </mc:Choice>
  </mc:AlternateContent>
  <xr:revisionPtr revIDLastSave="0" documentId="13_ncr:1_{DE3BF91B-597A-4BF8-872D-CAE6D78BE4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Текущий контракт" sheetId="1" r:id="rId1"/>
    <sheet name="Предложени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M40" i="1"/>
  <c r="M38" i="1"/>
  <c r="E370" i="2"/>
  <c r="M35" i="1"/>
  <c r="M34" i="1"/>
  <c r="M33" i="1"/>
  <c r="M32" i="1"/>
  <c r="M28" i="1"/>
  <c r="M30" i="1"/>
  <c r="M29" i="1"/>
  <c r="M27" i="1"/>
  <c r="N25" i="1"/>
  <c r="N24" i="1"/>
  <c r="M24" i="1"/>
  <c r="M25" i="1"/>
  <c r="I374" i="1"/>
  <c r="E95" i="2"/>
  <c r="E96" i="2"/>
  <c r="E97" i="2"/>
  <c r="E98" i="2"/>
  <c r="E99" i="2"/>
  <c r="F99" i="2" s="1"/>
  <c r="E100" i="2"/>
  <c r="F100" i="2" s="1"/>
  <c r="E101" i="2"/>
  <c r="E102" i="2"/>
  <c r="F102" i="2" s="1"/>
  <c r="E103" i="2"/>
  <c r="E104" i="2"/>
  <c r="E105" i="2"/>
  <c r="E106" i="2"/>
  <c r="E107" i="2"/>
  <c r="F107" i="2" s="1"/>
  <c r="E108" i="2"/>
  <c r="F108" i="2" s="1"/>
  <c r="E109" i="2"/>
  <c r="E110" i="2"/>
  <c r="F110" i="2" s="1"/>
  <c r="E111" i="2"/>
  <c r="E112" i="2"/>
  <c r="E113" i="2"/>
  <c r="E114" i="2"/>
  <c r="E115" i="2"/>
  <c r="F115" i="2" s="1"/>
  <c r="E116" i="2"/>
  <c r="F116" i="2" s="1"/>
  <c r="E117" i="2"/>
  <c r="E118" i="2"/>
  <c r="F118" i="2" s="1"/>
  <c r="E119" i="2"/>
  <c r="E120" i="2"/>
  <c r="E121" i="2"/>
  <c r="E122" i="2"/>
  <c r="E123" i="2"/>
  <c r="F123" i="2" s="1"/>
  <c r="E124" i="2"/>
  <c r="F124" i="2" s="1"/>
  <c r="E125" i="2"/>
  <c r="E126" i="2"/>
  <c r="F126" i="2" s="1"/>
  <c r="E127" i="2"/>
  <c r="E128" i="2"/>
  <c r="E129" i="2"/>
  <c r="E130" i="2"/>
  <c r="E131" i="2"/>
  <c r="F131" i="2" s="1"/>
  <c r="E132" i="2"/>
  <c r="F132" i="2" s="1"/>
  <c r="E133" i="2"/>
  <c r="E134" i="2"/>
  <c r="F134" i="2" s="1"/>
  <c r="E135" i="2"/>
  <c r="E136" i="2"/>
  <c r="E137" i="2"/>
  <c r="E138" i="2"/>
  <c r="E139" i="2"/>
  <c r="F139" i="2" s="1"/>
  <c r="E140" i="2"/>
  <c r="F140" i="2" s="1"/>
  <c r="E141" i="2"/>
  <c r="E142" i="2"/>
  <c r="F142" i="2" s="1"/>
  <c r="E143" i="2"/>
  <c r="E144" i="2"/>
  <c r="E145" i="2"/>
  <c r="E146" i="2"/>
  <c r="E147" i="2"/>
  <c r="F147" i="2" s="1"/>
  <c r="E148" i="2"/>
  <c r="F148" i="2" s="1"/>
  <c r="E149" i="2"/>
  <c r="E150" i="2"/>
  <c r="F150" i="2" s="1"/>
  <c r="E151" i="2"/>
  <c r="E152" i="2"/>
  <c r="E153" i="2"/>
  <c r="E154" i="2"/>
  <c r="E155" i="2"/>
  <c r="F155" i="2" s="1"/>
  <c r="E156" i="2"/>
  <c r="F156" i="2" s="1"/>
  <c r="E157" i="2"/>
  <c r="E158" i="2"/>
  <c r="F158" i="2" s="1"/>
  <c r="E159" i="2"/>
  <c r="E160" i="2"/>
  <c r="E161" i="2"/>
  <c r="E162" i="2"/>
  <c r="E163" i="2"/>
  <c r="F163" i="2" s="1"/>
  <c r="E164" i="2"/>
  <c r="F164" i="2" s="1"/>
  <c r="E165" i="2"/>
  <c r="E166" i="2"/>
  <c r="F166" i="2" s="1"/>
  <c r="E167" i="2"/>
  <c r="E168" i="2"/>
  <c r="E169" i="2"/>
  <c r="E170" i="2"/>
  <c r="E171" i="2"/>
  <c r="F171" i="2" s="1"/>
  <c r="E172" i="2"/>
  <c r="F172" i="2" s="1"/>
  <c r="E173" i="2"/>
  <c r="E174" i="2"/>
  <c r="F174" i="2" s="1"/>
  <c r="E175" i="2"/>
  <c r="E176" i="2"/>
  <c r="E177" i="2"/>
  <c r="E178" i="2"/>
  <c r="E179" i="2"/>
  <c r="F179" i="2" s="1"/>
  <c r="E180" i="2"/>
  <c r="F180" i="2" s="1"/>
  <c r="E181" i="2"/>
  <c r="E182" i="2"/>
  <c r="F182" i="2" s="1"/>
  <c r="E183" i="2"/>
  <c r="E184" i="2"/>
  <c r="E185" i="2"/>
  <c r="E94" i="2"/>
  <c r="F94" i="2" s="1"/>
  <c r="F95" i="2"/>
  <c r="F96" i="2"/>
  <c r="F97" i="2"/>
  <c r="F98" i="2"/>
  <c r="F101" i="2"/>
  <c r="F103" i="2"/>
  <c r="F104" i="2"/>
  <c r="F105" i="2"/>
  <c r="F106" i="2"/>
  <c r="F109" i="2"/>
  <c r="F111" i="2"/>
  <c r="F112" i="2"/>
  <c r="F113" i="2"/>
  <c r="F114" i="2"/>
  <c r="F117" i="2"/>
  <c r="F119" i="2"/>
  <c r="F120" i="2"/>
  <c r="F121" i="2"/>
  <c r="F122" i="2"/>
  <c r="F125" i="2"/>
  <c r="F127" i="2"/>
  <c r="F128" i="2"/>
  <c r="F129" i="2"/>
  <c r="F130" i="2"/>
  <c r="F133" i="2"/>
  <c r="F135" i="2"/>
  <c r="F136" i="2"/>
  <c r="F137" i="2"/>
  <c r="F138" i="2"/>
  <c r="F141" i="2"/>
  <c r="F143" i="2"/>
  <c r="F144" i="2"/>
  <c r="F145" i="2"/>
  <c r="F146" i="2"/>
  <c r="F149" i="2"/>
  <c r="F151" i="2"/>
  <c r="F152" i="2"/>
  <c r="F153" i="2"/>
  <c r="F154" i="2"/>
  <c r="F157" i="2"/>
  <c r="F159" i="2"/>
  <c r="F160" i="2"/>
  <c r="F161" i="2"/>
  <c r="F162" i="2"/>
  <c r="F165" i="2"/>
  <c r="F167" i="2"/>
  <c r="F168" i="2"/>
  <c r="F169" i="2"/>
  <c r="F170" i="2"/>
  <c r="F173" i="2"/>
  <c r="F175" i="2"/>
  <c r="F176" i="2"/>
  <c r="F177" i="2"/>
  <c r="F178" i="2"/>
  <c r="F181" i="2"/>
  <c r="F183" i="2"/>
  <c r="F184" i="2"/>
  <c r="F185" i="2"/>
  <c r="E372" i="1"/>
  <c r="E186" i="2"/>
  <c r="I369" i="1"/>
  <c r="E369" i="1"/>
  <c r="J36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2" i="1"/>
  <c r="E94" i="1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17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D307" i="2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276" i="2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269" i="2"/>
  <c r="D270" i="2" s="1"/>
  <c r="D271" i="2" s="1"/>
  <c r="D272" i="2" s="1"/>
  <c r="D273" i="2" s="1"/>
  <c r="D274" i="2" s="1"/>
  <c r="D275" i="2" s="1"/>
  <c r="D199" i="2"/>
  <c r="D200" i="2"/>
  <c r="D201" i="2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194" i="2"/>
  <c r="D195" i="2" s="1"/>
  <c r="D196" i="2" s="1"/>
  <c r="D197" i="2" s="1"/>
  <c r="D198" i="2" s="1"/>
  <c r="D187" i="2"/>
  <c r="D188" i="2"/>
  <c r="D189" i="2"/>
  <c r="D190" i="2" s="1"/>
  <c r="D191" i="2" s="1"/>
  <c r="D186" i="2"/>
  <c r="D174" i="2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53" i="2"/>
  <c r="D154" i="2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13" i="2"/>
  <c r="D114" i="2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04" i="2"/>
  <c r="D105" i="2" s="1"/>
  <c r="D106" i="2" s="1"/>
  <c r="D107" i="2" s="1"/>
  <c r="D108" i="2" s="1"/>
  <c r="D109" i="2" s="1"/>
  <c r="D110" i="2" s="1"/>
  <c r="D111" i="2" s="1"/>
  <c r="D112" i="2" s="1"/>
  <c r="D96" i="2"/>
  <c r="D97" i="2" s="1"/>
  <c r="D98" i="2" s="1"/>
  <c r="D99" i="2" s="1"/>
  <c r="D100" i="2" s="1"/>
  <c r="D101" i="2" s="1"/>
  <c r="D102" i="2" s="1"/>
  <c r="D103" i="2" s="1"/>
  <c r="D95" i="2"/>
  <c r="D94" i="2"/>
  <c r="E2" i="2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51" i="1"/>
  <c r="N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  <c r="H64" i="1"/>
  <c r="H63" i="1" s="1"/>
  <c r="H62" i="1" s="1"/>
  <c r="H61" i="1" s="1"/>
  <c r="H60" i="1" s="1"/>
  <c r="H59" i="1" s="1"/>
  <c r="H58" i="1" s="1"/>
  <c r="H57" i="1" s="1"/>
  <c r="H56" i="1" s="1"/>
  <c r="H55" i="1" s="1"/>
  <c r="H54" i="1" s="1"/>
  <c r="H53" i="1" s="1"/>
  <c r="H52" i="1" s="1"/>
  <c r="H65" i="1"/>
  <c r="H81" i="1"/>
  <c r="H80" i="1" s="1"/>
  <c r="H79" i="1" s="1"/>
  <c r="H78" i="1" s="1"/>
  <c r="H77" i="1" s="1"/>
  <c r="H76" i="1" s="1"/>
  <c r="H75" i="1" s="1"/>
  <c r="H74" i="1" s="1"/>
  <c r="H73" i="1" s="1"/>
  <c r="H72" i="1" s="1"/>
  <c r="H71" i="1" s="1"/>
  <c r="H70" i="1" s="1"/>
  <c r="H69" i="1" s="1"/>
  <c r="H68" i="1" s="1"/>
  <c r="H67" i="1" s="1"/>
  <c r="H66" i="1" s="1"/>
  <c r="H89" i="1"/>
  <c r="H88" i="1" s="1"/>
  <c r="H87" i="1" s="1"/>
  <c r="H86" i="1" s="1"/>
  <c r="H85" i="1" s="1"/>
  <c r="H84" i="1" s="1"/>
  <c r="H83" i="1" s="1"/>
  <c r="H82" i="1" s="1"/>
  <c r="H90" i="1"/>
  <c r="H91" i="1"/>
  <c r="H92" i="1"/>
  <c r="E245" i="1"/>
  <c r="E276" i="1"/>
  <c r="E306" i="1"/>
  <c r="E337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6" i="1"/>
  <c r="E218" i="1"/>
  <c r="E21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187" i="1"/>
  <c r="E186" i="1"/>
  <c r="D198" i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187" i="1"/>
  <c r="D188" i="1"/>
  <c r="D189" i="1"/>
  <c r="D190" i="1" s="1"/>
  <c r="D191" i="1" s="1"/>
  <c r="D192" i="1" s="1"/>
  <c r="D193" i="1" s="1"/>
  <c r="D194" i="1" s="1"/>
  <c r="D195" i="1" s="1"/>
  <c r="D196" i="1" s="1"/>
  <c r="D197" i="1" s="1"/>
  <c r="D186" i="1"/>
  <c r="E155" i="1"/>
  <c r="E125" i="1"/>
  <c r="D96" i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95" i="1"/>
  <c r="D94" i="1"/>
  <c r="E93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65" i="1"/>
  <c r="E64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35" i="1"/>
  <c r="E36" i="1"/>
  <c r="E37" i="1"/>
  <c r="E38" i="1"/>
  <c r="E39" i="1"/>
  <c r="E40" i="1"/>
  <c r="E34" i="1"/>
  <c r="E3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2" i="1"/>
  <c r="D3" i="1"/>
  <c r="E2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369" i="2" l="1"/>
  <c r="E371" i="2" s="1"/>
  <c r="E373" i="1"/>
  <c r="M37" i="1" s="1"/>
  <c r="D192" i="2"/>
  <c r="D193" i="2" l="1"/>
  <c r="I371" i="1" l="1"/>
  <c r="I370" i="1" l="1"/>
  <c r="E370" i="1"/>
  <c r="E275" i="2" l="1"/>
  <c r="E277" i="2" l="1"/>
  <c r="E276" i="2"/>
  <c r="E279" i="2" l="1"/>
  <c r="E278" i="2"/>
  <c r="E281" i="2" l="1"/>
  <c r="E280" i="2"/>
  <c r="E283" i="2" l="1"/>
  <c r="E282" i="2"/>
  <c r="E285" i="2" l="1"/>
  <c r="E284" i="2"/>
  <c r="E287" i="2" l="1"/>
  <c r="E286" i="2"/>
  <c r="E289" i="2" l="1"/>
  <c r="E288" i="2"/>
  <c r="E291" i="2" l="1"/>
  <c r="E290" i="2"/>
  <c r="E293" i="2" l="1"/>
  <c r="E292" i="2"/>
  <c r="E295" i="2" l="1"/>
  <c r="E294" i="2"/>
  <c r="E297" i="2" l="1"/>
  <c r="E296" i="2"/>
  <c r="E298" i="2" l="1"/>
  <c r="E299" i="2" l="1"/>
  <c r="E300" i="2" l="1"/>
  <c r="E301" i="2" l="1"/>
  <c r="E302" i="2" l="1"/>
  <c r="E304" i="2" l="1"/>
  <c r="E303" i="2"/>
  <c r="E305" i="2" l="1"/>
  <c r="E306" i="2" l="1"/>
  <c r="E307" i="2" l="1"/>
  <c r="E308" i="2" l="1"/>
  <c r="E309" i="2" l="1"/>
  <c r="E310" i="2" l="1"/>
  <c r="E311" i="2" l="1"/>
  <c r="E312" i="2" l="1"/>
  <c r="E313" i="2" l="1"/>
  <c r="E314" i="2" l="1"/>
  <c r="E315" i="2" l="1"/>
  <c r="E316" i="2" l="1"/>
  <c r="E317" i="2" l="1"/>
  <c r="E318" i="2" l="1"/>
  <c r="E320" i="2" l="1"/>
  <c r="E319" i="2"/>
  <c r="E321" i="2" l="1"/>
  <c r="E322" i="2" l="1"/>
  <c r="E323" i="2" l="1"/>
  <c r="E324" i="2" l="1"/>
  <c r="E325" i="2" l="1"/>
  <c r="E326" i="2" l="1"/>
  <c r="E327" i="2" l="1"/>
  <c r="E328" i="2" l="1"/>
  <c r="E329" i="2" l="1"/>
  <c r="E330" i="2" l="1"/>
  <c r="E331" i="2" l="1"/>
  <c r="E332" i="2" l="1"/>
  <c r="E333" i="2" l="1"/>
  <c r="E334" i="2" l="1"/>
  <c r="E336" i="2" l="1"/>
  <c r="E335" i="2"/>
  <c r="E337" i="2" l="1"/>
  <c r="E338" i="2" l="1"/>
  <c r="E339" i="2" l="1"/>
  <c r="E340" i="2" l="1"/>
  <c r="E341" i="2" l="1"/>
  <c r="E342" i="2" l="1"/>
  <c r="E343" i="2" l="1"/>
  <c r="E344" i="2" l="1"/>
  <c r="E345" i="2" l="1"/>
  <c r="E346" i="2" l="1"/>
  <c r="E347" i="2" l="1"/>
  <c r="E348" i="2" l="1"/>
  <c r="E349" i="2" l="1"/>
  <c r="E350" i="2" l="1"/>
  <c r="E352" i="2" l="1"/>
  <c r="E351" i="2"/>
  <c r="E353" i="2" l="1"/>
  <c r="E354" i="2" l="1"/>
  <c r="E355" i="2" l="1"/>
  <c r="E356" i="2" l="1"/>
  <c r="E357" i="2" l="1"/>
  <c r="E358" i="2" l="1"/>
  <c r="E359" i="2" l="1"/>
  <c r="E360" i="2" l="1"/>
  <c r="E361" i="2" l="1"/>
  <c r="E362" i="2" l="1"/>
  <c r="E363" i="2" l="1"/>
  <c r="E364" i="2" l="1"/>
  <c r="E365" i="2" l="1"/>
  <c r="E367" i="2" l="1"/>
  <c r="E366" i="2"/>
</calcChain>
</file>

<file path=xl/sharedStrings.xml><?xml version="1.0" encoding="utf-8"?>
<sst xmlns="http://schemas.openxmlformats.org/spreadsheetml/2006/main" count="725" uniqueCount="47">
  <si>
    <t>Австрия</t>
  </si>
  <si>
    <t>Венгрия</t>
  </si>
  <si>
    <t>Хранение</t>
  </si>
  <si>
    <t>Закачка</t>
  </si>
  <si>
    <t>Отбор</t>
  </si>
  <si>
    <t>Процесс</t>
  </si>
  <si>
    <t>Дата</t>
  </si>
  <si>
    <t>Выход из Венгрии в ПХГ тыс.куб.</t>
  </si>
  <si>
    <t>Вход в Венгрию из ПХГ тыс.куб.</t>
  </si>
  <si>
    <t>VTPA (Австрия)</t>
  </si>
  <si>
    <t>VTPH (Венгрия)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</si>
  <si>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</si>
  <si>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</si>
  <si>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</si>
  <si>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</si>
  <si>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</si>
  <si>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</si>
  <si>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</si>
  <si>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1 кв. 2021</t>
  </si>
  <si>
    <t>2 кв. 2021</t>
  </si>
  <si>
    <t>Цена продажи неотобранного газа ЕВРО/тыс. куб.</t>
  </si>
  <si>
    <t>Суточный отбор Австрия, тыс.куб.</t>
  </si>
  <si>
    <t>Суточный отбор Венгрия, тыс.куб.</t>
  </si>
  <si>
    <t>Суточная закачка Австрия, тыс. куб</t>
  </si>
  <si>
    <t>Остаток газа на ПХГ Австрия, тыс. куб.</t>
  </si>
  <si>
    <t>Остаток газа на ПХГ Венгрия, тыс. куб.</t>
  </si>
  <si>
    <t>Хранение в месяц, тыс ЕВРО</t>
  </si>
  <si>
    <t>Остаток тыс. куб.</t>
  </si>
  <si>
    <t>Выручка          тыс. ЕВРО</t>
  </si>
  <si>
    <t>Итого выручка, тыс. ЕВРО:</t>
  </si>
  <si>
    <t>Всего выручка, ЕВРО</t>
  </si>
  <si>
    <t>% в выручке</t>
  </si>
  <si>
    <t>Хранение ЕВРО/тыс. куб.</t>
  </si>
  <si>
    <t>Сумма выручки</t>
  </si>
  <si>
    <t>Итого хранение</t>
  </si>
  <si>
    <t>Разница в хранении</t>
  </si>
  <si>
    <t>Разница с предложением</t>
  </si>
  <si>
    <t>Денежные потоки контракт</t>
  </si>
  <si>
    <t>Денежные потоки предложение</t>
  </si>
  <si>
    <t>Контракт</t>
  </si>
  <si>
    <t>Предложение</t>
  </si>
  <si>
    <t>Доля рынка,%</t>
  </si>
  <si>
    <t>3 квартал 2020</t>
  </si>
  <si>
    <t>4 квартал 2020</t>
  </si>
  <si>
    <t>1 квартал 2021</t>
  </si>
  <si>
    <t>2 квартал 2021</t>
  </si>
  <si>
    <t>Приведенная 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</si>
</sst>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_ ;[Red]\-#,##0.00\ "/>
    <numFmt numFmtId="165" formatCode="#,##0.0000_ ;[Red]\-#,##0.0000\ 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14" fontId="0" fillId="0" borderId="1" xfId="0" applyNumberFormat="1" applyBorder="1"/>
    <xf numFmtId="1" fontId="0" fillId="0" borderId="1" xfId="0" applyNumberFormat="1" applyBorder="1"/>
    <xf numFmtId="3" fontId="0" fillId="0" borderId="1" xfId="0" applyNumberFormat="1" applyBorder="1"/>
    <xf numFmtId="3" fontId="0" fillId="0" borderId="0" xfId="0" applyNumberFormat="1" applyFill="1" applyBorder="1"/>
    <xf numFmtId="4" fontId="0" fillId="0" borderId="0" xfId="0" applyNumberFormat="1"/>
    <xf numFmtId="49" fontId="0" fillId="0" borderId="0" xfId="0" applyNumberFormat="1"/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right"/>
    </xf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/>
    </xf>
    <xf numFmtId="1" fontId="0" fillId="0" borderId="5" xfId="0" applyNumberFormat="1" applyBorder="1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wrapText="1"/>
    </xf>
    <xf numFmtId="3" fontId="0" fillId="0" borderId="2" xfId="0" applyNumberFormat="1" applyBorder="1"/>
    <xf numFmtId="3" fontId="0" fillId="0" borderId="3" xfId="0" applyNumberFormat="1" applyBorder="1"/>
    <xf numFmtId="1" fontId="0" fillId="0" borderId="2" xfId="0" applyNumberFormat="1" applyBorder="1"/>
    <xf numFmtId="3" fontId="0" fillId="0" borderId="1" xfId="0" applyNumberFormat="1" applyFill="1" applyBorder="1"/>
    <xf numFmtId="3" fontId="0" fillId="3" borderId="0" xfId="0" applyNumberFormat="1" applyFill="1"/>
    <xf numFmtId="10" fontId="0" fillId="0" borderId="0" xfId="0" applyNumberFormat="1"/>
    <xf numFmtId="1" fontId="0" fillId="0" borderId="0" xfId="0" applyNumberFormat="1" applyFill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164" fontId="0" fillId="0" borderId="0" xfId="0" applyNumberFormat="1"/>
    <xf numFmtId="3" fontId="0" fillId="2" borderId="0" xfId="0" applyNumberFormat="1" applyFill="1"/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/>
    <xf numFmtId="0" fontId="1" fillId="0" borderId="0" xfId="0" applyFont="1"/>
    <xf numFmtId="164" fontId="0" fillId="0" borderId="0" xfId="0" applyNumberFormat="1" applyBorder="1" applyAlignment="1">
      <alignment horizontal="center"/>
    </xf>
    <xf numFmtId="165" fontId="0" fillId="0" borderId="0" xfId="0" applyNumberFormat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AC7E9B89-12AB-4DAE-85E6-EB82B14B26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4"/>
  <sheetViews>
    <sheetView tabSelected="1" workbookViewId="0">
      <pane ySplit="1" topLeftCell="A2" activePane="bottomLeft" state="frozen"/>
      <selection pane="bottomLeft" activeCell="K40" sqref="K40"/>
    </sheetView>
  </sheetViews>
  <sheetFormatPr defaultRowHeight="14.5" x14ac:dyDescent="0.35"/>
  <cols>
    <col min="1" max="1" width="9.90625" bestFit="1" customWidth="1"/>
    <col min="2" max="2" width="11.08984375" style="2" customWidth="1"/>
    <col min="3" max="3" width="8.08984375" style="2" customWidth="1"/>
    <col min="4" max="4" width="8.81640625" style="2" customWidth="1"/>
    <col min="5" max="5" width="9.54296875" style="2" customWidth="1"/>
    <col min="6" max="6" width="8.453125" style="2" customWidth="1"/>
    <col min="7" max="7" width="8.26953125" style="2" customWidth="1"/>
    <col min="8" max="8" width="8.7265625" style="2" bestFit="1" customWidth="1"/>
    <col min="9" max="9" width="13.26953125" bestFit="1" customWidth="1"/>
    <col min="11" max="11" width="14.54296875" customWidth="1"/>
    <col min="12" max="12" width="13.81640625" bestFit="1" customWidth="1"/>
    <col min="13" max="13" width="15.6328125" customWidth="1"/>
    <col min="14" max="14" width="11.1796875" customWidth="1"/>
  </cols>
  <sheetData>
    <row r="1" spans="1:14" ht="29" x14ac:dyDescent="0.35">
      <c r="A1" s="17" t="s">
        <v>6</v>
      </c>
      <c r="B1" s="16" t="s">
        <v>0</v>
      </c>
      <c r="C1" s="17" t="s">
        <v>5</v>
      </c>
      <c r="D1" s="15" t="s">
        <v>27</v>
      </c>
      <c r="E1" s="18" t="s">
        <v>28</v>
      </c>
      <c r="F1" s="16" t="s">
        <v>1</v>
      </c>
      <c r="G1" s="17" t="s">
        <v>5</v>
      </c>
      <c r="H1" s="15" t="s">
        <v>27</v>
      </c>
      <c r="I1" s="15" t="s">
        <v>28</v>
      </c>
      <c r="J1" s="28" t="s">
        <v>33</v>
      </c>
    </row>
    <row r="2" spans="1:14" x14ac:dyDescent="0.35">
      <c r="A2" s="1">
        <v>44013</v>
      </c>
      <c r="B2" s="2">
        <v>200000</v>
      </c>
      <c r="C2" s="2" t="s">
        <v>4</v>
      </c>
      <c r="D2" s="3">
        <f>N2-N6</f>
        <v>44550</v>
      </c>
      <c r="E2" s="19">
        <f>$N$6*L13-N4</f>
        <v>30265</v>
      </c>
      <c r="F2" s="3"/>
      <c r="G2" s="3"/>
      <c r="H2" s="3">
        <v>5000</v>
      </c>
      <c r="I2" s="7">
        <f>(H2-H3)*$M$13</f>
        <v>0</v>
      </c>
      <c r="J2" s="3">
        <f>E2+I2</f>
        <v>30265</v>
      </c>
      <c r="K2" t="s">
        <v>24</v>
      </c>
      <c r="N2" s="3">
        <v>45000</v>
      </c>
    </row>
    <row r="3" spans="1:14" x14ac:dyDescent="0.35">
      <c r="A3" s="1">
        <v>44014</v>
      </c>
      <c r="C3" s="2" t="s">
        <v>4</v>
      </c>
      <c r="D3" s="3">
        <f>D2-$N$6</f>
        <v>44100</v>
      </c>
      <c r="E3" s="19">
        <f>(D2-D3)*$L$13</f>
        <v>30465</v>
      </c>
      <c r="H3" s="3">
        <v>5000</v>
      </c>
      <c r="I3" s="7">
        <f t="shared" ref="I3:I50" si="0">(H3-H4)*$M$13</f>
        <v>0</v>
      </c>
      <c r="J3" s="3">
        <f t="shared" ref="J3:J66" si="1">E3+I3</f>
        <v>30465</v>
      </c>
      <c r="K3" t="s">
        <v>25</v>
      </c>
      <c r="N3" s="3">
        <v>5000</v>
      </c>
    </row>
    <row r="4" spans="1:14" x14ac:dyDescent="0.35">
      <c r="A4" s="1">
        <v>44015</v>
      </c>
      <c r="C4" s="2" t="s">
        <v>4</v>
      </c>
      <c r="D4" s="3">
        <f t="shared" ref="D4:D67" si="2">D3-$N$6</f>
        <v>43650</v>
      </c>
      <c r="E4" s="19">
        <f t="shared" ref="E4:E32" si="3">(D3-D4)*$L$13</f>
        <v>30465</v>
      </c>
      <c r="H4" s="3">
        <v>5000</v>
      </c>
      <c r="I4" s="7">
        <f t="shared" si="0"/>
        <v>0</v>
      </c>
      <c r="J4" s="3">
        <f t="shared" si="1"/>
        <v>30465</v>
      </c>
      <c r="K4" t="s">
        <v>26</v>
      </c>
      <c r="N4" s="3">
        <v>200</v>
      </c>
    </row>
    <row r="5" spans="1:14" x14ac:dyDescent="0.35">
      <c r="A5" s="1">
        <v>44016</v>
      </c>
      <c r="C5" s="2" t="s">
        <v>4</v>
      </c>
      <c r="D5" s="3">
        <f t="shared" si="2"/>
        <v>43200</v>
      </c>
      <c r="E5" s="19">
        <f t="shared" si="3"/>
        <v>30465</v>
      </c>
      <c r="H5" s="3">
        <v>5000</v>
      </c>
      <c r="I5" s="7">
        <f t="shared" si="0"/>
        <v>0</v>
      </c>
      <c r="J5" s="3">
        <f t="shared" si="1"/>
        <v>30465</v>
      </c>
      <c r="K5" t="s">
        <v>20</v>
      </c>
      <c r="N5">
        <f>L15-3</f>
        <v>73.900000000000006</v>
      </c>
    </row>
    <row r="6" spans="1:14" x14ac:dyDescent="0.35">
      <c r="A6" s="1">
        <v>44017</v>
      </c>
      <c r="C6" s="2" t="s">
        <v>4</v>
      </c>
      <c r="D6" s="3">
        <f t="shared" si="2"/>
        <v>42750</v>
      </c>
      <c r="E6" s="19">
        <f t="shared" si="3"/>
        <v>30465</v>
      </c>
      <c r="H6" s="3">
        <v>5000</v>
      </c>
      <c r="I6" s="7">
        <f t="shared" si="0"/>
        <v>0</v>
      </c>
      <c r="J6" s="3">
        <f t="shared" si="1"/>
        <v>30465</v>
      </c>
      <c r="K6" t="s">
        <v>21</v>
      </c>
      <c r="N6" s="3">
        <v>450</v>
      </c>
    </row>
    <row r="7" spans="1:14" x14ac:dyDescent="0.35">
      <c r="A7" s="1">
        <v>44018</v>
      </c>
      <c r="C7" s="2" t="s">
        <v>4</v>
      </c>
      <c r="D7" s="3">
        <f t="shared" si="2"/>
        <v>42300</v>
      </c>
      <c r="E7" s="19">
        <f t="shared" si="3"/>
        <v>30465</v>
      </c>
      <c r="H7" s="3">
        <v>5000</v>
      </c>
      <c r="I7" s="7">
        <f t="shared" si="0"/>
        <v>0</v>
      </c>
      <c r="J7" s="3">
        <f t="shared" si="1"/>
        <v>30465</v>
      </c>
      <c r="K7" t="s">
        <v>22</v>
      </c>
      <c r="N7" s="3">
        <v>120</v>
      </c>
    </row>
    <row r="8" spans="1:14" x14ac:dyDescent="0.35">
      <c r="A8" s="1">
        <v>44019</v>
      </c>
      <c r="C8" s="2" t="s">
        <v>4</v>
      </c>
      <c r="D8" s="3">
        <f t="shared" si="2"/>
        <v>41850</v>
      </c>
      <c r="E8" s="19">
        <f t="shared" si="3"/>
        <v>30465</v>
      </c>
      <c r="H8" s="3">
        <v>5000</v>
      </c>
      <c r="I8" s="7">
        <f t="shared" si="0"/>
        <v>0</v>
      </c>
      <c r="J8" s="3">
        <f t="shared" si="1"/>
        <v>30465</v>
      </c>
      <c r="K8" t="s">
        <v>23</v>
      </c>
      <c r="N8" s="3">
        <v>870</v>
      </c>
    </row>
    <row r="9" spans="1:14" x14ac:dyDescent="0.35">
      <c r="A9" s="1">
        <v>44020</v>
      </c>
      <c r="C9" s="2" t="s">
        <v>4</v>
      </c>
      <c r="D9" s="3">
        <f t="shared" si="2"/>
        <v>41400</v>
      </c>
      <c r="E9" s="19">
        <f t="shared" si="3"/>
        <v>30465</v>
      </c>
      <c r="H9" s="3">
        <v>5000</v>
      </c>
      <c r="I9" s="7">
        <f t="shared" si="0"/>
        <v>0</v>
      </c>
      <c r="J9" s="3">
        <f t="shared" si="1"/>
        <v>30465</v>
      </c>
      <c r="K9" t="s">
        <v>8</v>
      </c>
      <c r="N9" s="8">
        <v>3.08</v>
      </c>
    </row>
    <row r="10" spans="1:14" x14ac:dyDescent="0.35">
      <c r="A10" s="1">
        <v>44021</v>
      </c>
      <c r="C10" s="2" t="s">
        <v>4</v>
      </c>
      <c r="D10" s="3">
        <f t="shared" si="2"/>
        <v>40950</v>
      </c>
      <c r="E10" s="19">
        <f t="shared" si="3"/>
        <v>30465</v>
      </c>
      <c r="H10" s="3">
        <v>5000</v>
      </c>
      <c r="I10" s="7">
        <f t="shared" si="0"/>
        <v>0</v>
      </c>
      <c r="J10" s="3">
        <f t="shared" si="1"/>
        <v>30465</v>
      </c>
      <c r="K10" t="s">
        <v>7</v>
      </c>
      <c r="N10" s="8">
        <v>3.29</v>
      </c>
    </row>
    <row r="11" spans="1:14" x14ac:dyDescent="0.35">
      <c r="A11" s="1">
        <v>44022</v>
      </c>
      <c r="C11" s="2" t="s">
        <v>4</v>
      </c>
      <c r="D11" s="3">
        <f t="shared" si="2"/>
        <v>40500</v>
      </c>
      <c r="E11" s="19">
        <f t="shared" si="3"/>
        <v>30465</v>
      </c>
      <c r="H11" s="3">
        <v>5000</v>
      </c>
      <c r="I11" s="7">
        <f t="shared" si="0"/>
        <v>0</v>
      </c>
      <c r="J11" s="3">
        <f t="shared" si="1"/>
        <v>30465</v>
      </c>
      <c r="N11" s="8"/>
    </row>
    <row r="12" spans="1:14" x14ac:dyDescent="0.35">
      <c r="A12" s="1">
        <v>44023</v>
      </c>
      <c r="C12" s="2" t="s">
        <v>4</v>
      </c>
      <c r="D12" s="3">
        <f t="shared" si="2"/>
        <v>40050</v>
      </c>
      <c r="E12" s="19">
        <f t="shared" si="3"/>
        <v>30465</v>
      </c>
      <c r="H12" s="3">
        <v>5000</v>
      </c>
      <c r="I12" s="7">
        <f t="shared" si="0"/>
        <v>0</v>
      </c>
      <c r="J12" s="3">
        <f t="shared" si="1"/>
        <v>30465</v>
      </c>
      <c r="K12" s="10"/>
      <c r="L12" s="10" t="s">
        <v>9</v>
      </c>
      <c r="M12" s="10" t="s">
        <v>10</v>
      </c>
      <c r="N12" s="8"/>
    </row>
    <row r="13" spans="1:14" x14ac:dyDescent="0.35">
      <c r="A13" s="1">
        <v>44024</v>
      </c>
      <c r="C13" s="2" t="s">
        <v>4</v>
      </c>
      <c r="D13" s="3">
        <f t="shared" si="2"/>
        <v>39600</v>
      </c>
      <c r="E13" s="19">
        <f t="shared" si="3"/>
        <v>30465</v>
      </c>
      <c r="H13" s="3">
        <v>5000</v>
      </c>
      <c r="I13" s="7">
        <f t="shared" si="0"/>
        <v>0</v>
      </c>
      <c r="J13" s="3">
        <f t="shared" si="1"/>
        <v>30465</v>
      </c>
      <c r="K13" s="11" t="s">
        <v>11</v>
      </c>
      <c r="L13" s="10">
        <v>67.7</v>
      </c>
      <c r="M13" s="10">
        <v>88.3</v>
      </c>
    </row>
    <row r="14" spans="1:14" x14ac:dyDescent="0.35">
      <c r="A14" s="1">
        <v>44025</v>
      </c>
      <c r="C14" s="2" t="s">
        <v>4</v>
      </c>
      <c r="D14" s="3">
        <f t="shared" si="2"/>
        <v>39150</v>
      </c>
      <c r="E14" s="19">
        <f t="shared" si="3"/>
        <v>30465</v>
      </c>
      <c r="H14" s="3">
        <v>5000</v>
      </c>
      <c r="I14" s="7">
        <f t="shared" si="0"/>
        <v>0</v>
      </c>
      <c r="J14" s="3">
        <f t="shared" si="1"/>
        <v>30465</v>
      </c>
      <c r="K14" s="11" t="s">
        <v>12</v>
      </c>
      <c r="L14" s="10">
        <v>69.599999999999994</v>
      </c>
      <c r="M14" s="10">
        <v>93.8</v>
      </c>
    </row>
    <row r="15" spans="1:14" x14ac:dyDescent="0.35">
      <c r="A15" s="1">
        <v>44026</v>
      </c>
      <c r="C15" s="2" t="s">
        <v>4</v>
      </c>
      <c r="D15" s="3">
        <f t="shared" si="2"/>
        <v>38700</v>
      </c>
      <c r="E15" s="19">
        <f t="shared" si="3"/>
        <v>30465</v>
      </c>
      <c r="H15" s="3">
        <v>5000</v>
      </c>
      <c r="I15" s="7">
        <f t="shared" si="0"/>
        <v>0</v>
      </c>
      <c r="J15" s="3">
        <f t="shared" si="1"/>
        <v>30465</v>
      </c>
      <c r="K15" s="11" t="s">
        <v>13</v>
      </c>
      <c r="L15" s="10">
        <v>76.900000000000006</v>
      </c>
      <c r="M15" s="10">
        <v>103</v>
      </c>
    </row>
    <row r="16" spans="1:14" x14ac:dyDescent="0.35">
      <c r="A16" s="1">
        <v>44027</v>
      </c>
      <c r="C16" s="2" t="s">
        <v>4</v>
      </c>
      <c r="D16" s="3">
        <f t="shared" si="2"/>
        <v>38250</v>
      </c>
      <c r="E16" s="19">
        <f t="shared" si="3"/>
        <v>30465</v>
      </c>
      <c r="H16" s="3">
        <v>5000</v>
      </c>
      <c r="I16" s="7">
        <f t="shared" si="0"/>
        <v>0</v>
      </c>
      <c r="J16" s="3">
        <f t="shared" si="1"/>
        <v>30465</v>
      </c>
      <c r="K16" s="11" t="s">
        <v>14</v>
      </c>
      <c r="L16" s="10">
        <v>93.2</v>
      </c>
      <c r="M16" s="10">
        <v>122.6</v>
      </c>
    </row>
    <row r="17" spans="1:14" x14ac:dyDescent="0.35">
      <c r="A17" s="1">
        <v>44028</v>
      </c>
      <c r="C17" s="2" t="s">
        <v>4</v>
      </c>
      <c r="D17" s="3">
        <f t="shared" si="2"/>
        <v>37800</v>
      </c>
      <c r="E17" s="19">
        <f t="shared" si="3"/>
        <v>30465</v>
      </c>
      <c r="H17" s="3">
        <v>5000</v>
      </c>
      <c r="I17" s="7">
        <f t="shared" si="0"/>
        <v>0</v>
      </c>
      <c r="J17" s="3">
        <f t="shared" si="1"/>
        <v>30465</v>
      </c>
      <c r="K17" s="11" t="s">
        <v>15</v>
      </c>
      <c r="L17" s="10">
        <v>133.69999999999999</v>
      </c>
      <c r="M17" s="10">
        <v>157</v>
      </c>
    </row>
    <row r="18" spans="1:14" x14ac:dyDescent="0.35">
      <c r="A18" s="1">
        <v>44029</v>
      </c>
      <c r="C18" s="2" t="s">
        <v>4</v>
      </c>
      <c r="D18" s="3">
        <f t="shared" si="2"/>
        <v>37350</v>
      </c>
      <c r="E18" s="19">
        <f t="shared" si="3"/>
        <v>30465</v>
      </c>
      <c r="H18" s="3">
        <v>5000</v>
      </c>
      <c r="I18" s="7">
        <f t="shared" si="0"/>
        <v>0</v>
      </c>
      <c r="J18" s="3">
        <f t="shared" si="1"/>
        <v>30465</v>
      </c>
      <c r="K18" s="11" t="s">
        <v>16</v>
      </c>
      <c r="L18" s="10">
        <v>133.69999999999999</v>
      </c>
      <c r="M18" s="10">
        <v>168.8</v>
      </c>
    </row>
    <row r="19" spans="1:14" x14ac:dyDescent="0.35">
      <c r="A19" s="1">
        <v>44030</v>
      </c>
      <c r="C19" s="2" t="s">
        <v>4</v>
      </c>
      <c r="D19" s="3">
        <f t="shared" si="2"/>
        <v>36900</v>
      </c>
      <c r="E19" s="19">
        <f t="shared" si="3"/>
        <v>30465</v>
      </c>
      <c r="H19" s="3">
        <v>5000</v>
      </c>
      <c r="I19" s="7">
        <f t="shared" si="0"/>
        <v>0</v>
      </c>
      <c r="J19" s="3">
        <f t="shared" si="1"/>
        <v>30465</v>
      </c>
      <c r="K19" s="11" t="s">
        <v>17</v>
      </c>
      <c r="L19" s="10">
        <v>142</v>
      </c>
      <c r="M19" s="10">
        <v>172</v>
      </c>
    </row>
    <row r="20" spans="1:14" x14ac:dyDescent="0.35">
      <c r="A20" s="1">
        <v>44031</v>
      </c>
      <c r="C20" s="2" t="s">
        <v>4</v>
      </c>
      <c r="D20" s="3">
        <f t="shared" si="2"/>
        <v>36450</v>
      </c>
      <c r="E20" s="19">
        <f t="shared" si="3"/>
        <v>30465</v>
      </c>
      <c r="H20" s="3">
        <v>5000</v>
      </c>
      <c r="I20" s="7">
        <f t="shared" si="0"/>
        <v>0</v>
      </c>
      <c r="J20" s="3">
        <f t="shared" si="1"/>
        <v>30465</v>
      </c>
      <c r="K20" s="11" t="s">
        <v>18</v>
      </c>
      <c r="L20" s="10">
        <v>141.1</v>
      </c>
      <c r="M20" s="10">
        <v>171.2</v>
      </c>
    </row>
    <row r="21" spans="1:14" x14ac:dyDescent="0.35">
      <c r="A21" s="1">
        <v>44032</v>
      </c>
      <c r="C21" s="2" t="s">
        <v>4</v>
      </c>
      <c r="D21" s="3">
        <f t="shared" si="2"/>
        <v>36000</v>
      </c>
      <c r="E21" s="19">
        <f t="shared" si="3"/>
        <v>30465</v>
      </c>
      <c r="H21" s="3">
        <v>5000</v>
      </c>
      <c r="I21" s="7">
        <f t="shared" si="0"/>
        <v>0</v>
      </c>
      <c r="J21" s="3">
        <f t="shared" si="1"/>
        <v>30465</v>
      </c>
      <c r="K21" s="11" t="s">
        <v>19</v>
      </c>
      <c r="L21" s="10">
        <v>137</v>
      </c>
      <c r="M21" s="10">
        <v>162.30000000000001</v>
      </c>
    </row>
    <row r="22" spans="1:14" x14ac:dyDescent="0.35">
      <c r="A22" s="1">
        <v>44033</v>
      </c>
      <c r="C22" s="2" t="s">
        <v>4</v>
      </c>
      <c r="D22" s="3">
        <f t="shared" si="2"/>
        <v>35550</v>
      </c>
      <c r="E22" s="19">
        <f t="shared" si="3"/>
        <v>30465</v>
      </c>
      <c r="H22" s="3">
        <v>5000</v>
      </c>
      <c r="I22" s="7">
        <f t="shared" si="0"/>
        <v>0</v>
      </c>
      <c r="J22" s="3">
        <f t="shared" si="1"/>
        <v>30465</v>
      </c>
      <c r="K22" s="12"/>
      <c r="L22" s="13"/>
      <c r="M22" s="13"/>
    </row>
    <row r="23" spans="1:14" x14ac:dyDescent="0.35">
      <c r="A23" s="1">
        <v>44034</v>
      </c>
      <c r="C23" s="2" t="s">
        <v>4</v>
      </c>
      <c r="D23" s="3">
        <f t="shared" si="2"/>
        <v>35100</v>
      </c>
      <c r="E23" s="19">
        <f t="shared" si="3"/>
        <v>30465</v>
      </c>
      <c r="H23" s="3">
        <v>5000</v>
      </c>
      <c r="I23" s="7">
        <f t="shared" si="0"/>
        <v>0</v>
      </c>
      <c r="J23" s="3">
        <f t="shared" si="1"/>
        <v>30465</v>
      </c>
      <c r="K23" s="34" t="s">
        <v>41</v>
      </c>
      <c r="L23" s="13"/>
      <c r="M23" s="13"/>
    </row>
    <row r="24" spans="1:14" x14ac:dyDescent="0.35">
      <c r="A24" s="1">
        <v>44035</v>
      </c>
      <c r="C24" s="2" t="s">
        <v>4</v>
      </c>
      <c r="D24" s="3">
        <f t="shared" si="2"/>
        <v>34650</v>
      </c>
      <c r="E24" s="19">
        <f t="shared" si="3"/>
        <v>30465</v>
      </c>
      <c r="H24" s="3">
        <v>5000</v>
      </c>
      <c r="I24" s="7">
        <f t="shared" si="0"/>
        <v>0</v>
      </c>
      <c r="J24" s="3">
        <f t="shared" si="1"/>
        <v>30465</v>
      </c>
      <c r="K24" s="12"/>
      <c r="L24" s="33" t="s">
        <v>0</v>
      </c>
      <c r="M24" s="37">
        <f>NPV(0.1,E2:E367,A2:A367)</f>
        <v>305023.42608104553</v>
      </c>
      <c r="N24" s="38">
        <f>M24/(M24+M25)*100</f>
        <v>99.679677830927034</v>
      </c>
    </row>
    <row r="25" spans="1:14" x14ac:dyDescent="0.35">
      <c r="A25" s="1">
        <v>44036</v>
      </c>
      <c r="C25" s="2" t="s">
        <v>4</v>
      </c>
      <c r="D25" s="3">
        <f t="shared" si="2"/>
        <v>34200</v>
      </c>
      <c r="E25" s="19">
        <f t="shared" si="3"/>
        <v>30465</v>
      </c>
      <c r="H25" s="3">
        <v>5000</v>
      </c>
      <c r="I25" s="7">
        <f t="shared" si="0"/>
        <v>0</v>
      </c>
      <c r="J25" s="3">
        <f t="shared" si="1"/>
        <v>30465</v>
      </c>
      <c r="K25" s="12"/>
      <c r="L25" s="33" t="s">
        <v>1</v>
      </c>
      <c r="M25" s="37">
        <f>NPV(0.1,I2:I367,A2:A367)</f>
        <v>980.1974443183426</v>
      </c>
      <c r="N25">
        <f>M25/(M24+M25)*100</f>
        <v>0.32032216907297389</v>
      </c>
    </row>
    <row r="26" spans="1:14" x14ac:dyDescent="0.35">
      <c r="A26" s="1">
        <v>44037</v>
      </c>
      <c r="C26" s="2" t="s">
        <v>4</v>
      </c>
      <c r="D26" s="3">
        <f t="shared" si="2"/>
        <v>33750</v>
      </c>
      <c r="E26" s="19">
        <f t="shared" si="3"/>
        <v>30465</v>
      </c>
      <c r="H26" s="3">
        <v>5000</v>
      </c>
      <c r="I26" s="7">
        <f t="shared" si="0"/>
        <v>0</v>
      </c>
      <c r="J26" s="3">
        <f t="shared" si="1"/>
        <v>30465</v>
      </c>
      <c r="K26" s="34" t="s">
        <v>37</v>
      </c>
      <c r="L26" s="13"/>
      <c r="M26" s="13"/>
    </row>
    <row r="27" spans="1:14" x14ac:dyDescent="0.35">
      <c r="A27" s="1">
        <v>44038</v>
      </c>
      <c r="C27" s="2" t="s">
        <v>4</v>
      </c>
      <c r="D27" s="3">
        <f t="shared" si="2"/>
        <v>33300</v>
      </c>
      <c r="E27" s="19">
        <f t="shared" si="3"/>
        <v>30465</v>
      </c>
      <c r="H27" s="3">
        <v>5000</v>
      </c>
      <c r="I27" s="7">
        <f t="shared" si="0"/>
        <v>0</v>
      </c>
      <c r="J27" s="3">
        <f t="shared" si="1"/>
        <v>30465</v>
      </c>
      <c r="K27" s="9"/>
      <c r="L27" s="31" t="s">
        <v>42</v>
      </c>
      <c r="M27" s="3">
        <f>SUM(J2:J93)</f>
        <v>3921864.9999999963</v>
      </c>
    </row>
    <row r="28" spans="1:14" x14ac:dyDescent="0.35">
      <c r="A28" s="1">
        <v>44039</v>
      </c>
      <c r="C28" s="2" t="s">
        <v>4</v>
      </c>
      <c r="D28" s="3">
        <f t="shared" si="2"/>
        <v>32850</v>
      </c>
      <c r="E28" s="19">
        <f t="shared" si="3"/>
        <v>30465</v>
      </c>
      <c r="H28" s="3">
        <v>5000</v>
      </c>
      <c r="I28" s="7">
        <f t="shared" si="0"/>
        <v>0</v>
      </c>
      <c r="J28" s="3">
        <f t="shared" si="1"/>
        <v>30465</v>
      </c>
      <c r="K28" s="9"/>
      <c r="L28" s="32" t="s">
        <v>43</v>
      </c>
      <c r="M28" s="3">
        <f>SUM(J94:J185)</f>
        <v>-600</v>
      </c>
    </row>
    <row r="29" spans="1:14" x14ac:dyDescent="0.35">
      <c r="A29" s="1">
        <v>44040</v>
      </c>
      <c r="C29" s="2" t="s">
        <v>4</v>
      </c>
      <c r="D29" s="3">
        <f t="shared" si="2"/>
        <v>32400</v>
      </c>
      <c r="E29" s="19">
        <f t="shared" si="3"/>
        <v>30465</v>
      </c>
      <c r="H29" s="3">
        <v>5000</v>
      </c>
      <c r="I29" s="7">
        <f t="shared" si="0"/>
        <v>0</v>
      </c>
      <c r="J29" s="3">
        <f t="shared" si="1"/>
        <v>30465</v>
      </c>
      <c r="K29" s="9"/>
      <c r="L29" s="32" t="s">
        <v>44</v>
      </c>
      <c r="M29" s="3">
        <f>SUM(J186:J275)</f>
        <v>5713950</v>
      </c>
    </row>
    <row r="30" spans="1:14" x14ac:dyDescent="0.35">
      <c r="A30" s="1">
        <v>44041</v>
      </c>
      <c r="C30" s="2" t="s">
        <v>4</v>
      </c>
      <c r="D30" s="3">
        <f t="shared" si="2"/>
        <v>31950</v>
      </c>
      <c r="E30" s="19">
        <f t="shared" si="3"/>
        <v>30465</v>
      </c>
      <c r="H30" s="3">
        <v>5000</v>
      </c>
      <c r="I30" s="7">
        <f t="shared" si="0"/>
        <v>0</v>
      </c>
      <c r="J30" s="3">
        <f t="shared" si="1"/>
        <v>30465</v>
      </c>
      <c r="K30" s="9"/>
      <c r="L30" s="32" t="s">
        <v>45</v>
      </c>
      <c r="M30" s="3">
        <f>SUM(J276:J367)</f>
        <v>5572850</v>
      </c>
    </row>
    <row r="31" spans="1:14" x14ac:dyDescent="0.35">
      <c r="A31" s="1">
        <v>44042</v>
      </c>
      <c r="C31" s="2" t="s">
        <v>4</v>
      </c>
      <c r="D31" s="3">
        <f t="shared" si="2"/>
        <v>31500</v>
      </c>
      <c r="E31" s="19">
        <f t="shared" si="3"/>
        <v>30465</v>
      </c>
      <c r="H31" s="3">
        <v>5000</v>
      </c>
      <c r="I31" s="7">
        <f t="shared" si="0"/>
        <v>0</v>
      </c>
      <c r="J31" s="3">
        <f t="shared" si="1"/>
        <v>30465</v>
      </c>
      <c r="K31" s="35" t="s">
        <v>38</v>
      </c>
    </row>
    <row r="32" spans="1:14" x14ac:dyDescent="0.35">
      <c r="A32" s="1">
        <v>44043</v>
      </c>
      <c r="C32" s="2" t="s">
        <v>4</v>
      </c>
      <c r="D32" s="3">
        <f t="shared" si="2"/>
        <v>31050</v>
      </c>
      <c r="E32" s="19">
        <f t="shared" si="3"/>
        <v>30465</v>
      </c>
      <c r="H32" s="3">
        <v>5000</v>
      </c>
      <c r="I32" s="7">
        <f t="shared" si="0"/>
        <v>0</v>
      </c>
      <c r="J32" s="3">
        <f t="shared" si="1"/>
        <v>30465</v>
      </c>
      <c r="K32" s="9"/>
      <c r="L32" s="31" t="s">
        <v>42</v>
      </c>
      <c r="M32" s="3">
        <f>SUM(Предложение!E2:E93)</f>
        <v>2950000</v>
      </c>
    </row>
    <row r="33" spans="1:13" x14ac:dyDescent="0.35">
      <c r="A33" s="1">
        <v>44044</v>
      </c>
      <c r="B33" s="2">
        <v>200000</v>
      </c>
      <c r="C33" s="2" t="s">
        <v>4</v>
      </c>
      <c r="D33" s="3">
        <f t="shared" si="2"/>
        <v>30600</v>
      </c>
      <c r="E33" s="19">
        <f>(D32-D33)*$L$14-N4</f>
        <v>31119.999999999996</v>
      </c>
      <c r="H33" s="3">
        <v>5000</v>
      </c>
      <c r="I33" s="7">
        <f t="shared" si="0"/>
        <v>0</v>
      </c>
      <c r="J33" s="3">
        <f t="shared" si="1"/>
        <v>31119.999999999996</v>
      </c>
      <c r="L33" s="32" t="s">
        <v>43</v>
      </c>
      <c r="M33" s="2">
        <f>SUM(Предложение!E94:E185)</f>
        <v>-496242.66666666669</v>
      </c>
    </row>
    <row r="34" spans="1:13" x14ac:dyDescent="0.35">
      <c r="A34" s="1">
        <v>44045</v>
      </c>
      <c r="C34" s="2" t="s">
        <v>4</v>
      </c>
      <c r="D34" s="3">
        <f t="shared" si="2"/>
        <v>30150</v>
      </c>
      <c r="E34" s="19">
        <f>(D33-D34)*$L$14</f>
        <v>31319.999999999996</v>
      </c>
      <c r="H34" s="3">
        <v>5000</v>
      </c>
      <c r="I34" s="7">
        <f t="shared" si="0"/>
        <v>0</v>
      </c>
      <c r="J34" s="3">
        <f t="shared" si="1"/>
        <v>31319.999999999996</v>
      </c>
      <c r="L34" s="32" t="s">
        <v>44</v>
      </c>
      <c r="M34" s="2">
        <f>SUM(Предложение!E186:E274)</f>
        <v>11200561</v>
      </c>
    </row>
    <row r="35" spans="1:13" x14ac:dyDescent="0.35">
      <c r="A35" s="1">
        <v>44046</v>
      </c>
      <c r="C35" s="2" t="s">
        <v>4</v>
      </c>
      <c r="D35" s="3">
        <f t="shared" si="2"/>
        <v>29700</v>
      </c>
      <c r="E35" s="19">
        <f t="shared" ref="E35:E63" si="4">(D34-D35)*$L$14</f>
        <v>31319.999999999996</v>
      </c>
      <c r="H35" s="3">
        <v>5000</v>
      </c>
      <c r="I35" s="7">
        <f t="shared" si="0"/>
        <v>0</v>
      </c>
      <c r="J35" s="3">
        <f t="shared" si="1"/>
        <v>31319.999999999996</v>
      </c>
      <c r="L35" s="32" t="s">
        <v>45</v>
      </c>
      <c r="M35" s="2">
        <f>SUM(Предложение!E276:E367)</f>
        <v>0</v>
      </c>
    </row>
    <row r="36" spans="1:13" x14ac:dyDescent="0.35">
      <c r="A36" s="1">
        <v>44047</v>
      </c>
      <c r="C36" s="2" t="s">
        <v>4</v>
      </c>
      <c r="D36" s="3">
        <f t="shared" si="2"/>
        <v>29250</v>
      </c>
      <c r="E36" s="19">
        <f t="shared" si="4"/>
        <v>31319.999999999996</v>
      </c>
      <c r="H36" s="3">
        <v>5000</v>
      </c>
      <c r="I36" s="7">
        <f t="shared" si="0"/>
        <v>0</v>
      </c>
      <c r="J36" s="3">
        <f t="shared" si="1"/>
        <v>31319.999999999996</v>
      </c>
      <c r="K36" s="36" t="s">
        <v>2</v>
      </c>
    </row>
    <row r="37" spans="1:13" x14ac:dyDescent="0.35">
      <c r="A37" s="1">
        <v>44048</v>
      </c>
      <c r="C37" s="2" t="s">
        <v>4</v>
      </c>
      <c r="D37" s="3">
        <f t="shared" si="2"/>
        <v>28800</v>
      </c>
      <c r="E37" s="19">
        <f t="shared" si="4"/>
        <v>31319.999999999996</v>
      </c>
      <c r="H37" s="3">
        <v>5000</v>
      </c>
      <c r="I37" s="7">
        <f t="shared" si="0"/>
        <v>0</v>
      </c>
      <c r="J37" s="3">
        <f t="shared" si="1"/>
        <v>31319.999999999996</v>
      </c>
      <c r="L37" s="32" t="s">
        <v>39</v>
      </c>
      <c r="M37" s="2">
        <f>E373</f>
        <v>1501016.6171979702</v>
      </c>
    </row>
    <row r="38" spans="1:13" x14ac:dyDescent="0.35">
      <c r="A38" s="1">
        <v>44049</v>
      </c>
      <c r="C38" s="2" t="s">
        <v>4</v>
      </c>
      <c r="D38" s="3">
        <f t="shared" si="2"/>
        <v>28350</v>
      </c>
      <c r="E38" s="19">
        <f t="shared" si="4"/>
        <v>31319.999999999996</v>
      </c>
      <c r="H38" s="3">
        <v>5000</v>
      </c>
      <c r="I38" s="7">
        <f t="shared" si="0"/>
        <v>0</v>
      </c>
      <c r="J38" s="3">
        <f t="shared" si="1"/>
        <v>31319.999999999996</v>
      </c>
      <c r="L38" s="32" t="s">
        <v>40</v>
      </c>
      <c r="M38">
        <f>Предложение!E370</f>
        <v>1992.5922619458215</v>
      </c>
    </row>
    <row r="39" spans="1:13" x14ac:dyDescent="0.35">
      <c r="A39" s="1">
        <v>44050</v>
      </c>
      <c r="C39" s="2" t="s">
        <v>4</v>
      </c>
      <c r="D39" s="3">
        <f t="shared" si="2"/>
        <v>27900</v>
      </c>
      <c r="E39" s="19">
        <f t="shared" si="4"/>
        <v>31319.999999999996</v>
      </c>
      <c r="H39" s="3">
        <v>5000</v>
      </c>
      <c r="I39" s="7">
        <f t="shared" si="0"/>
        <v>0</v>
      </c>
      <c r="J39" s="3">
        <f t="shared" si="1"/>
        <v>31319.999999999996</v>
      </c>
      <c r="K39" s="36" t="s">
        <v>46</v>
      </c>
    </row>
    <row r="40" spans="1:13" x14ac:dyDescent="0.35">
      <c r="A40" s="1">
        <v>44051</v>
      </c>
      <c r="C40" s="2" t="s">
        <v>4</v>
      </c>
      <c r="D40" s="3">
        <f t="shared" si="2"/>
        <v>27450</v>
      </c>
      <c r="E40" s="19">
        <f t="shared" si="4"/>
        <v>31319.999999999996</v>
      </c>
      <c r="H40" s="3">
        <v>5000</v>
      </c>
      <c r="I40" s="7">
        <f t="shared" si="0"/>
        <v>0</v>
      </c>
      <c r="J40" s="3">
        <f t="shared" si="1"/>
        <v>31319.999999999996</v>
      </c>
      <c r="L40" s="32" t="s">
        <v>39</v>
      </c>
      <c r="M40" s="3">
        <f>I371</f>
        <v>721383260.93623888</v>
      </c>
    </row>
    <row r="41" spans="1:13" x14ac:dyDescent="0.35">
      <c r="A41" s="1">
        <v>44052</v>
      </c>
      <c r="C41" s="2" t="s">
        <v>4</v>
      </c>
      <c r="D41" s="3">
        <f t="shared" si="2"/>
        <v>27000</v>
      </c>
      <c r="E41" s="19">
        <f t="shared" si="4"/>
        <v>31319.999999999996</v>
      </c>
      <c r="H41" s="3">
        <v>5000</v>
      </c>
      <c r="I41" s="7">
        <f t="shared" si="0"/>
        <v>0</v>
      </c>
      <c r="J41" s="3">
        <f t="shared" si="1"/>
        <v>31319.999999999996</v>
      </c>
      <c r="L41" s="32" t="s">
        <v>40</v>
      </c>
      <c r="M41" s="3">
        <f>Предложение!E371</f>
        <v>2822848201.100265</v>
      </c>
    </row>
    <row r="42" spans="1:13" x14ac:dyDescent="0.35">
      <c r="A42" s="1">
        <v>44053</v>
      </c>
      <c r="C42" s="2" t="s">
        <v>4</v>
      </c>
      <c r="D42" s="3">
        <f t="shared" si="2"/>
        <v>26550</v>
      </c>
      <c r="E42" s="19">
        <f t="shared" si="4"/>
        <v>31319.999999999996</v>
      </c>
      <c r="H42" s="3">
        <v>5000</v>
      </c>
      <c r="I42" s="7">
        <f t="shared" si="0"/>
        <v>0</v>
      </c>
      <c r="J42" s="3">
        <f t="shared" si="1"/>
        <v>31319.999999999996</v>
      </c>
    </row>
    <row r="43" spans="1:13" x14ac:dyDescent="0.35">
      <c r="A43" s="1">
        <v>44054</v>
      </c>
      <c r="C43" s="2" t="s">
        <v>4</v>
      </c>
      <c r="D43" s="3">
        <f t="shared" si="2"/>
        <v>26100</v>
      </c>
      <c r="E43" s="19">
        <f t="shared" si="4"/>
        <v>31319.999999999996</v>
      </c>
      <c r="H43" s="3">
        <v>5000</v>
      </c>
      <c r="I43" s="7">
        <f t="shared" si="0"/>
        <v>0</v>
      </c>
      <c r="J43" s="3">
        <f t="shared" si="1"/>
        <v>31319.999999999996</v>
      </c>
    </row>
    <row r="44" spans="1:13" x14ac:dyDescent="0.35">
      <c r="A44" s="1">
        <v>44055</v>
      </c>
      <c r="C44" s="2" t="s">
        <v>4</v>
      </c>
      <c r="D44" s="3">
        <f t="shared" si="2"/>
        <v>25650</v>
      </c>
      <c r="E44" s="19">
        <f t="shared" si="4"/>
        <v>31319.999999999996</v>
      </c>
      <c r="H44" s="3">
        <v>5000</v>
      </c>
      <c r="I44" s="7">
        <f t="shared" si="0"/>
        <v>0</v>
      </c>
      <c r="J44" s="3">
        <f t="shared" si="1"/>
        <v>31319.999999999996</v>
      </c>
    </row>
    <row r="45" spans="1:13" x14ac:dyDescent="0.35">
      <c r="A45" s="1">
        <v>44056</v>
      </c>
      <c r="C45" s="2" t="s">
        <v>4</v>
      </c>
      <c r="D45" s="3">
        <f t="shared" si="2"/>
        <v>25200</v>
      </c>
      <c r="E45" s="19">
        <f t="shared" si="4"/>
        <v>31319.999999999996</v>
      </c>
      <c r="H45" s="3">
        <v>5000</v>
      </c>
      <c r="I45" s="7">
        <f t="shared" si="0"/>
        <v>0</v>
      </c>
      <c r="J45" s="3">
        <f t="shared" si="1"/>
        <v>31319.999999999996</v>
      </c>
    </row>
    <row r="46" spans="1:13" x14ac:dyDescent="0.35">
      <c r="A46" s="1">
        <v>44057</v>
      </c>
      <c r="C46" s="2" t="s">
        <v>4</v>
      </c>
      <c r="D46" s="3">
        <f t="shared" si="2"/>
        <v>24750</v>
      </c>
      <c r="E46" s="19">
        <f t="shared" si="4"/>
        <v>31319.999999999996</v>
      </c>
      <c r="H46" s="3">
        <v>5000</v>
      </c>
      <c r="I46" s="7">
        <f t="shared" si="0"/>
        <v>0</v>
      </c>
      <c r="J46" s="3">
        <f t="shared" si="1"/>
        <v>31319.999999999996</v>
      </c>
    </row>
    <row r="47" spans="1:13" x14ac:dyDescent="0.35">
      <c r="A47" s="1">
        <v>44058</v>
      </c>
      <c r="C47" s="2" t="s">
        <v>4</v>
      </c>
      <c r="D47" s="3">
        <f t="shared" si="2"/>
        <v>24300</v>
      </c>
      <c r="E47" s="19">
        <f t="shared" si="4"/>
        <v>31319.999999999996</v>
      </c>
      <c r="H47" s="3">
        <v>5000</v>
      </c>
      <c r="I47" s="7">
        <f t="shared" si="0"/>
        <v>0</v>
      </c>
      <c r="J47" s="3">
        <f t="shared" si="1"/>
        <v>31319.999999999996</v>
      </c>
    </row>
    <row r="48" spans="1:13" x14ac:dyDescent="0.35">
      <c r="A48" s="1">
        <v>44059</v>
      </c>
      <c r="C48" s="2" t="s">
        <v>4</v>
      </c>
      <c r="D48" s="3">
        <f t="shared" si="2"/>
        <v>23850</v>
      </c>
      <c r="E48" s="19">
        <f t="shared" si="4"/>
        <v>31319.999999999996</v>
      </c>
      <c r="H48" s="3">
        <v>5000</v>
      </c>
      <c r="I48" s="7">
        <f t="shared" si="0"/>
        <v>0</v>
      </c>
      <c r="J48" s="3">
        <f t="shared" si="1"/>
        <v>31319.999999999996</v>
      </c>
    </row>
    <row r="49" spans="1:10" x14ac:dyDescent="0.35">
      <c r="A49" s="1">
        <v>44060</v>
      </c>
      <c r="C49" s="2" t="s">
        <v>4</v>
      </c>
      <c r="D49" s="3">
        <f t="shared" si="2"/>
        <v>23400</v>
      </c>
      <c r="E49" s="19">
        <f t="shared" si="4"/>
        <v>31319.999999999996</v>
      </c>
      <c r="H49" s="3">
        <v>5000</v>
      </c>
      <c r="I49" s="7">
        <f t="shared" si="0"/>
        <v>0</v>
      </c>
      <c r="J49" s="3">
        <f t="shared" si="1"/>
        <v>31319.999999999996</v>
      </c>
    </row>
    <row r="50" spans="1:10" x14ac:dyDescent="0.35">
      <c r="A50" s="1">
        <v>44061</v>
      </c>
      <c r="C50" s="2" t="s">
        <v>4</v>
      </c>
      <c r="D50" s="3">
        <f t="shared" si="2"/>
        <v>22950</v>
      </c>
      <c r="E50" s="19">
        <f t="shared" si="4"/>
        <v>31319.999999999996</v>
      </c>
      <c r="H50" s="3">
        <v>5000</v>
      </c>
      <c r="I50" s="7">
        <f t="shared" si="0"/>
        <v>0</v>
      </c>
      <c r="J50" s="3">
        <f t="shared" si="1"/>
        <v>31319.999999999996</v>
      </c>
    </row>
    <row r="51" spans="1:10" x14ac:dyDescent="0.35">
      <c r="A51" s="1">
        <v>44062</v>
      </c>
      <c r="C51" s="2" t="s">
        <v>4</v>
      </c>
      <c r="D51" s="3">
        <f t="shared" si="2"/>
        <v>22500</v>
      </c>
      <c r="E51" s="19">
        <f t="shared" si="4"/>
        <v>31319.999999999996</v>
      </c>
      <c r="H51" s="3">
        <v>5000</v>
      </c>
      <c r="I51" s="7">
        <f>(H51-H52)*($M$13-$N$9)</f>
        <v>6817.6</v>
      </c>
      <c r="J51" s="3">
        <f t="shared" si="1"/>
        <v>38137.599999999999</v>
      </c>
    </row>
    <row r="52" spans="1:10" x14ac:dyDescent="0.35">
      <c r="A52" s="1">
        <v>44063</v>
      </c>
      <c r="C52" s="2" t="s">
        <v>4</v>
      </c>
      <c r="D52" s="3">
        <f t="shared" si="2"/>
        <v>22050</v>
      </c>
      <c r="E52" s="19">
        <f t="shared" si="4"/>
        <v>31319.999999999996</v>
      </c>
      <c r="H52" s="2">
        <f t="shared" ref="H52:H65" si="5">IF(H53+$N$7&lt;$N$3,H53+$N$7,0)</f>
        <v>4920</v>
      </c>
      <c r="I52" s="7">
        <f t="shared" ref="I52:I93" si="6">(H52-H53)*($M$13-$N$9)</f>
        <v>10226.4</v>
      </c>
      <c r="J52" s="3">
        <f t="shared" si="1"/>
        <v>41546.399999999994</v>
      </c>
    </row>
    <row r="53" spans="1:10" x14ac:dyDescent="0.35">
      <c r="A53" s="1">
        <v>44064</v>
      </c>
      <c r="C53" s="2" t="s">
        <v>4</v>
      </c>
      <c r="D53" s="3">
        <f t="shared" si="2"/>
        <v>21600</v>
      </c>
      <c r="E53" s="19">
        <f t="shared" si="4"/>
        <v>31319.999999999996</v>
      </c>
      <c r="H53" s="2">
        <f t="shared" si="5"/>
        <v>4800</v>
      </c>
      <c r="I53" s="7">
        <f t="shared" si="6"/>
        <v>10226.4</v>
      </c>
      <c r="J53" s="3">
        <f t="shared" si="1"/>
        <v>41546.399999999994</v>
      </c>
    </row>
    <row r="54" spans="1:10" x14ac:dyDescent="0.35">
      <c r="A54" s="1">
        <v>44065</v>
      </c>
      <c r="C54" s="2" t="s">
        <v>4</v>
      </c>
      <c r="D54" s="3">
        <f t="shared" si="2"/>
        <v>21150</v>
      </c>
      <c r="E54" s="19">
        <f t="shared" si="4"/>
        <v>31319.999999999996</v>
      </c>
      <c r="H54" s="2">
        <f t="shared" si="5"/>
        <v>4680</v>
      </c>
      <c r="I54" s="7">
        <f t="shared" si="6"/>
        <v>10226.4</v>
      </c>
      <c r="J54" s="3">
        <f t="shared" si="1"/>
        <v>41546.399999999994</v>
      </c>
    </row>
    <row r="55" spans="1:10" x14ac:dyDescent="0.35">
      <c r="A55" s="1">
        <v>44066</v>
      </c>
      <c r="C55" s="2" t="s">
        <v>4</v>
      </c>
      <c r="D55" s="3">
        <f t="shared" si="2"/>
        <v>20700</v>
      </c>
      <c r="E55" s="19">
        <f t="shared" si="4"/>
        <v>31319.999999999996</v>
      </c>
      <c r="H55" s="2">
        <f t="shared" si="5"/>
        <v>4560</v>
      </c>
      <c r="I55" s="7">
        <f t="shared" si="6"/>
        <v>10226.4</v>
      </c>
      <c r="J55" s="3">
        <f t="shared" si="1"/>
        <v>41546.399999999994</v>
      </c>
    </row>
    <row r="56" spans="1:10" x14ac:dyDescent="0.35">
      <c r="A56" s="1">
        <v>44067</v>
      </c>
      <c r="C56" s="2" t="s">
        <v>4</v>
      </c>
      <c r="D56" s="3">
        <f t="shared" si="2"/>
        <v>20250</v>
      </c>
      <c r="E56" s="19">
        <f t="shared" si="4"/>
        <v>31319.999999999996</v>
      </c>
      <c r="H56" s="2">
        <f t="shared" si="5"/>
        <v>4440</v>
      </c>
      <c r="I56" s="7">
        <f t="shared" si="6"/>
        <v>10226.4</v>
      </c>
      <c r="J56" s="3">
        <f t="shared" si="1"/>
        <v>41546.399999999994</v>
      </c>
    </row>
    <row r="57" spans="1:10" x14ac:dyDescent="0.35">
      <c r="A57" s="1">
        <v>44068</v>
      </c>
      <c r="C57" s="2" t="s">
        <v>4</v>
      </c>
      <c r="D57" s="3">
        <f t="shared" si="2"/>
        <v>19800</v>
      </c>
      <c r="E57" s="19">
        <f t="shared" si="4"/>
        <v>31319.999999999996</v>
      </c>
      <c r="H57" s="2">
        <f t="shared" si="5"/>
        <v>4320</v>
      </c>
      <c r="I57" s="7">
        <f t="shared" si="6"/>
        <v>10226.4</v>
      </c>
      <c r="J57" s="3">
        <f t="shared" si="1"/>
        <v>41546.399999999994</v>
      </c>
    </row>
    <row r="58" spans="1:10" x14ac:dyDescent="0.35">
      <c r="A58" s="1">
        <v>44069</v>
      </c>
      <c r="C58" s="2" t="s">
        <v>4</v>
      </c>
      <c r="D58" s="3">
        <f t="shared" si="2"/>
        <v>19350</v>
      </c>
      <c r="E58" s="19">
        <f t="shared" si="4"/>
        <v>31319.999999999996</v>
      </c>
      <c r="H58" s="2">
        <f t="shared" si="5"/>
        <v>4200</v>
      </c>
      <c r="I58" s="7">
        <f t="shared" si="6"/>
        <v>10226.4</v>
      </c>
      <c r="J58" s="3">
        <f t="shared" si="1"/>
        <v>41546.399999999994</v>
      </c>
    </row>
    <row r="59" spans="1:10" x14ac:dyDescent="0.35">
      <c r="A59" s="1">
        <v>44070</v>
      </c>
      <c r="C59" s="2" t="s">
        <v>4</v>
      </c>
      <c r="D59" s="3">
        <f t="shared" si="2"/>
        <v>18900</v>
      </c>
      <c r="E59" s="19">
        <f t="shared" si="4"/>
        <v>31319.999999999996</v>
      </c>
      <c r="H59" s="2">
        <f t="shared" si="5"/>
        <v>4080</v>
      </c>
      <c r="I59" s="7">
        <f t="shared" si="6"/>
        <v>10226.4</v>
      </c>
      <c r="J59" s="3">
        <f t="shared" si="1"/>
        <v>41546.399999999994</v>
      </c>
    </row>
    <row r="60" spans="1:10" x14ac:dyDescent="0.35">
      <c r="A60" s="1">
        <v>44071</v>
      </c>
      <c r="C60" s="2" t="s">
        <v>4</v>
      </c>
      <c r="D60" s="3">
        <f t="shared" si="2"/>
        <v>18450</v>
      </c>
      <c r="E60" s="19">
        <f t="shared" si="4"/>
        <v>31319.999999999996</v>
      </c>
      <c r="H60" s="2">
        <f t="shared" si="5"/>
        <v>3960</v>
      </c>
      <c r="I60" s="7">
        <f t="shared" si="6"/>
        <v>10226.4</v>
      </c>
      <c r="J60" s="3">
        <f t="shared" si="1"/>
        <v>41546.399999999994</v>
      </c>
    </row>
    <row r="61" spans="1:10" x14ac:dyDescent="0.35">
      <c r="A61" s="1">
        <v>44072</v>
      </c>
      <c r="C61" s="2" t="s">
        <v>4</v>
      </c>
      <c r="D61" s="3">
        <f t="shared" si="2"/>
        <v>18000</v>
      </c>
      <c r="E61" s="19">
        <f t="shared" si="4"/>
        <v>31319.999999999996</v>
      </c>
      <c r="H61" s="2">
        <f t="shared" si="5"/>
        <v>3840</v>
      </c>
      <c r="I61" s="7">
        <f t="shared" si="6"/>
        <v>10226.4</v>
      </c>
      <c r="J61" s="3">
        <f t="shared" si="1"/>
        <v>41546.399999999994</v>
      </c>
    </row>
    <row r="62" spans="1:10" x14ac:dyDescent="0.35">
      <c r="A62" s="1">
        <v>44073</v>
      </c>
      <c r="C62" s="2" t="s">
        <v>4</v>
      </c>
      <c r="D62" s="3">
        <f t="shared" si="2"/>
        <v>17550</v>
      </c>
      <c r="E62" s="19">
        <f t="shared" si="4"/>
        <v>31319.999999999996</v>
      </c>
      <c r="H62" s="2">
        <f t="shared" si="5"/>
        <v>3720</v>
      </c>
      <c r="I62" s="7">
        <f t="shared" si="6"/>
        <v>10226.4</v>
      </c>
      <c r="J62" s="3">
        <f t="shared" si="1"/>
        <v>41546.399999999994</v>
      </c>
    </row>
    <row r="63" spans="1:10" x14ac:dyDescent="0.35">
      <c r="A63" s="1">
        <v>44074</v>
      </c>
      <c r="C63" s="2" t="s">
        <v>4</v>
      </c>
      <c r="D63" s="3">
        <f t="shared" si="2"/>
        <v>17100</v>
      </c>
      <c r="E63" s="19">
        <f t="shared" si="4"/>
        <v>31319.999999999996</v>
      </c>
      <c r="H63" s="2">
        <f t="shared" si="5"/>
        <v>3600</v>
      </c>
      <c r="I63" s="7">
        <f t="shared" si="6"/>
        <v>10226.4</v>
      </c>
      <c r="J63" s="3">
        <f t="shared" si="1"/>
        <v>41546.399999999994</v>
      </c>
    </row>
    <row r="64" spans="1:10" x14ac:dyDescent="0.35">
      <c r="A64" s="1">
        <v>44075</v>
      </c>
      <c r="B64" s="2">
        <v>200000</v>
      </c>
      <c r="C64" s="2" t="s">
        <v>4</v>
      </c>
      <c r="D64" s="3">
        <f t="shared" si="2"/>
        <v>16650</v>
      </c>
      <c r="E64" s="19">
        <f>(D63-D64)*$L$15-N4</f>
        <v>34405</v>
      </c>
      <c r="H64" s="2">
        <f t="shared" si="5"/>
        <v>3480</v>
      </c>
      <c r="I64" s="7">
        <f t="shared" si="6"/>
        <v>10226.4</v>
      </c>
      <c r="J64" s="3">
        <f t="shared" si="1"/>
        <v>44631.4</v>
      </c>
    </row>
    <row r="65" spans="1:10" x14ac:dyDescent="0.35">
      <c r="A65" s="1">
        <v>44076</v>
      </c>
      <c r="C65" s="2" t="s">
        <v>4</v>
      </c>
      <c r="D65" s="3">
        <f t="shared" si="2"/>
        <v>16200</v>
      </c>
      <c r="E65" s="19">
        <f>(D64-D65)*$L$15</f>
        <v>34605</v>
      </c>
      <c r="H65" s="2">
        <f t="shared" si="5"/>
        <v>3360</v>
      </c>
      <c r="I65" s="7">
        <f t="shared" si="6"/>
        <v>10226.4</v>
      </c>
      <c r="J65" s="3">
        <f t="shared" si="1"/>
        <v>44831.4</v>
      </c>
    </row>
    <row r="66" spans="1:10" x14ac:dyDescent="0.35">
      <c r="A66" s="1">
        <v>44077</v>
      </c>
      <c r="C66" s="2" t="s">
        <v>4</v>
      </c>
      <c r="D66" s="3">
        <f t="shared" si="2"/>
        <v>15750</v>
      </c>
      <c r="E66" s="19">
        <f t="shared" ref="E66:E92" si="7">(D65-D66)*$L$15</f>
        <v>34605</v>
      </c>
      <c r="H66" s="2">
        <f t="shared" ref="H66:H81" si="8">IF(H67+$N$7&lt;$N$3,H67+$N$7,0)</f>
        <v>3240</v>
      </c>
      <c r="I66" s="7">
        <f t="shared" si="6"/>
        <v>10226.4</v>
      </c>
      <c r="J66" s="3">
        <f t="shared" si="1"/>
        <v>44831.4</v>
      </c>
    </row>
    <row r="67" spans="1:10" x14ac:dyDescent="0.35">
      <c r="A67" s="1">
        <v>44078</v>
      </c>
      <c r="C67" s="2" t="s">
        <v>4</v>
      </c>
      <c r="D67" s="3">
        <f t="shared" si="2"/>
        <v>15300</v>
      </c>
      <c r="E67" s="19">
        <f t="shared" si="7"/>
        <v>34605</v>
      </c>
      <c r="H67" s="2">
        <f t="shared" si="8"/>
        <v>3120</v>
      </c>
      <c r="I67" s="7">
        <f t="shared" si="6"/>
        <v>10226.4</v>
      </c>
      <c r="J67" s="3">
        <f t="shared" ref="J67:J130" si="9">E67+I67</f>
        <v>44831.4</v>
      </c>
    </row>
    <row r="68" spans="1:10" x14ac:dyDescent="0.35">
      <c r="A68" s="1">
        <v>44079</v>
      </c>
      <c r="C68" s="2" t="s">
        <v>4</v>
      </c>
      <c r="D68" s="3">
        <f t="shared" ref="D68:D92" si="10">D67-$N$6</f>
        <v>14850</v>
      </c>
      <c r="E68" s="19">
        <f t="shared" si="7"/>
        <v>34605</v>
      </c>
      <c r="H68" s="2">
        <f t="shared" si="8"/>
        <v>3000</v>
      </c>
      <c r="I68" s="7">
        <f t="shared" si="6"/>
        <v>10226.4</v>
      </c>
      <c r="J68" s="3">
        <f t="shared" si="9"/>
        <v>44831.4</v>
      </c>
    </row>
    <row r="69" spans="1:10" x14ac:dyDescent="0.35">
      <c r="A69" s="1">
        <v>44080</v>
      </c>
      <c r="C69" s="2" t="s">
        <v>4</v>
      </c>
      <c r="D69" s="3">
        <f t="shared" si="10"/>
        <v>14400</v>
      </c>
      <c r="E69" s="19">
        <f t="shared" si="7"/>
        <v>34605</v>
      </c>
      <c r="H69" s="2">
        <f t="shared" si="8"/>
        <v>2880</v>
      </c>
      <c r="I69" s="7">
        <f t="shared" si="6"/>
        <v>10226.4</v>
      </c>
      <c r="J69" s="3">
        <f t="shared" si="9"/>
        <v>44831.4</v>
      </c>
    </row>
    <row r="70" spans="1:10" x14ac:dyDescent="0.35">
      <c r="A70" s="1">
        <v>44081</v>
      </c>
      <c r="C70" s="2" t="s">
        <v>4</v>
      </c>
      <c r="D70" s="3">
        <f t="shared" si="10"/>
        <v>13950</v>
      </c>
      <c r="E70" s="19">
        <f t="shared" si="7"/>
        <v>34605</v>
      </c>
      <c r="H70" s="2">
        <f t="shared" si="8"/>
        <v>2760</v>
      </c>
      <c r="I70" s="7">
        <f t="shared" si="6"/>
        <v>10226.4</v>
      </c>
      <c r="J70" s="3">
        <f t="shared" si="9"/>
        <v>44831.4</v>
      </c>
    </row>
    <row r="71" spans="1:10" x14ac:dyDescent="0.35">
      <c r="A71" s="1">
        <v>44082</v>
      </c>
      <c r="C71" s="2" t="s">
        <v>4</v>
      </c>
      <c r="D71" s="3">
        <f t="shared" si="10"/>
        <v>13500</v>
      </c>
      <c r="E71" s="19">
        <f t="shared" si="7"/>
        <v>34605</v>
      </c>
      <c r="H71" s="2">
        <f t="shared" si="8"/>
        <v>2640</v>
      </c>
      <c r="I71" s="7">
        <f t="shared" si="6"/>
        <v>10226.4</v>
      </c>
      <c r="J71" s="3">
        <f t="shared" si="9"/>
        <v>44831.4</v>
      </c>
    </row>
    <row r="72" spans="1:10" x14ac:dyDescent="0.35">
      <c r="A72" s="1">
        <v>44083</v>
      </c>
      <c r="C72" s="2" t="s">
        <v>4</v>
      </c>
      <c r="D72" s="3">
        <f t="shared" si="10"/>
        <v>13050</v>
      </c>
      <c r="E72" s="19">
        <f t="shared" si="7"/>
        <v>34605</v>
      </c>
      <c r="H72" s="2">
        <f t="shared" si="8"/>
        <v>2520</v>
      </c>
      <c r="I72" s="7">
        <f t="shared" si="6"/>
        <v>10226.4</v>
      </c>
      <c r="J72" s="3">
        <f t="shared" si="9"/>
        <v>44831.4</v>
      </c>
    </row>
    <row r="73" spans="1:10" x14ac:dyDescent="0.35">
      <c r="A73" s="1">
        <v>44084</v>
      </c>
      <c r="C73" s="2" t="s">
        <v>4</v>
      </c>
      <c r="D73" s="3">
        <f t="shared" si="10"/>
        <v>12600</v>
      </c>
      <c r="E73" s="19">
        <f t="shared" si="7"/>
        <v>34605</v>
      </c>
      <c r="H73" s="2">
        <f t="shared" si="8"/>
        <v>2400</v>
      </c>
      <c r="I73" s="7">
        <f t="shared" si="6"/>
        <v>10226.4</v>
      </c>
      <c r="J73" s="3">
        <f t="shared" si="9"/>
        <v>44831.4</v>
      </c>
    </row>
    <row r="74" spans="1:10" x14ac:dyDescent="0.35">
      <c r="A74" s="1">
        <v>44085</v>
      </c>
      <c r="C74" s="2" t="s">
        <v>4</v>
      </c>
      <c r="D74" s="3">
        <f t="shared" si="10"/>
        <v>12150</v>
      </c>
      <c r="E74" s="19">
        <f t="shared" si="7"/>
        <v>34605</v>
      </c>
      <c r="H74" s="2">
        <f t="shared" si="8"/>
        <v>2280</v>
      </c>
      <c r="I74" s="7">
        <f t="shared" si="6"/>
        <v>10226.4</v>
      </c>
      <c r="J74" s="3">
        <f t="shared" si="9"/>
        <v>44831.4</v>
      </c>
    </row>
    <row r="75" spans="1:10" x14ac:dyDescent="0.35">
      <c r="A75" s="1">
        <v>44086</v>
      </c>
      <c r="C75" s="2" t="s">
        <v>4</v>
      </c>
      <c r="D75" s="3">
        <f t="shared" si="10"/>
        <v>11700</v>
      </c>
      <c r="E75" s="19">
        <f t="shared" si="7"/>
        <v>34605</v>
      </c>
      <c r="H75" s="2">
        <f t="shared" si="8"/>
        <v>2160</v>
      </c>
      <c r="I75" s="7">
        <f t="shared" si="6"/>
        <v>10226.4</v>
      </c>
      <c r="J75" s="3">
        <f t="shared" si="9"/>
        <v>44831.4</v>
      </c>
    </row>
    <row r="76" spans="1:10" x14ac:dyDescent="0.35">
      <c r="A76" s="1">
        <v>44087</v>
      </c>
      <c r="C76" s="2" t="s">
        <v>4</v>
      </c>
      <c r="D76" s="3">
        <f t="shared" si="10"/>
        <v>11250</v>
      </c>
      <c r="E76" s="19">
        <f t="shared" si="7"/>
        <v>34605</v>
      </c>
      <c r="H76" s="2">
        <f t="shared" si="8"/>
        <v>2040</v>
      </c>
      <c r="I76" s="7">
        <f t="shared" si="6"/>
        <v>10226.4</v>
      </c>
      <c r="J76" s="3">
        <f t="shared" si="9"/>
        <v>44831.4</v>
      </c>
    </row>
    <row r="77" spans="1:10" x14ac:dyDescent="0.35">
      <c r="A77" s="1">
        <v>44088</v>
      </c>
      <c r="C77" s="2" t="s">
        <v>4</v>
      </c>
      <c r="D77" s="3">
        <f t="shared" si="10"/>
        <v>10800</v>
      </c>
      <c r="E77" s="19">
        <f t="shared" si="7"/>
        <v>34605</v>
      </c>
      <c r="H77" s="2">
        <f t="shared" si="8"/>
        <v>1920</v>
      </c>
      <c r="I77" s="7">
        <f t="shared" si="6"/>
        <v>10226.4</v>
      </c>
      <c r="J77" s="3">
        <f t="shared" si="9"/>
        <v>44831.4</v>
      </c>
    </row>
    <row r="78" spans="1:10" x14ac:dyDescent="0.35">
      <c r="A78" s="1">
        <v>44089</v>
      </c>
      <c r="C78" s="2" t="s">
        <v>4</v>
      </c>
      <c r="D78" s="3">
        <f t="shared" si="10"/>
        <v>10350</v>
      </c>
      <c r="E78" s="19">
        <f t="shared" si="7"/>
        <v>34605</v>
      </c>
      <c r="H78" s="2">
        <f t="shared" si="8"/>
        <v>1800</v>
      </c>
      <c r="I78" s="7">
        <f t="shared" si="6"/>
        <v>10226.4</v>
      </c>
      <c r="J78" s="3">
        <f t="shared" si="9"/>
        <v>44831.4</v>
      </c>
    </row>
    <row r="79" spans="1:10" x14ac:dyDescent="0.35">
      <c r="A79" s="1">
        <v>44090</v>
      </c>
      <c r="C79" s="2" t="s">
        <v>4</v>
      </c>
      <c r="D79" s="3">
        <f t="shared" si="10"/>
        <v>9900</v>
      </c>
      <c r="E79" s="19">
        <f t="shared" si="7"/>
        <v>34605</v>
      </c>
      <c r="H79" s="2">
        <f t="shared" si="8"/>
        <v>1680</v>
      </c>
      <c r="I79" s="7">
        <f t="shared" si="6"/>
        <v>10226.4</v>
      </c>
      <c r="J79" s="3">
        <f t="shared" si="9"/>
        <v>44831.4</v>
      </c>
    </row>
    <row r="80" spans="1:10" x14ac:dyDescent="0.35">
      <c r="A80" s="1">
        <v>44091</v>
      </c>
      <c r="C80" s="2" t="s">
        <v>4</v>
      </c>
      <c r="D80" s="3">
        <f t="shared" si="10"/>
        <v>9450</v>
      </c>
      <c r="E80" s="19">
        <f t="shared" si="7"/>
        <v>34605</v>
      </c>
      <c r="H80" s="2">
        <f t="shared" si="8"/>
        <v>1560</v>
      </c>
      <c r="I80" s="7">
        <f t="shared" si="6"/>
        <v>10226.4</v>
      </c>
      <c r="J80" s="3">
        <f t="shared" si="9"/>
        <v>44831.4</v>
      </c>
    </row>
    <row r="81" spans="1:10" x14ac:dyDescent="0.35">
      <c r="A81" s="1">
        <v>44092</v>
      </c>
      <c r="C81" s="2" t="s">
        <v>4</v>
      </c>
      <c r="D81" s="3">
        <f t="shared" si="10"/>
        <v>9000</v>
      </c>
      <c r="E81" s="19">
        <f t="shared" si="7"/>
        <v>34605</v>
      </c>
      <c r="H81" s="2">
        <f t="shared" si="8"/>
        <v>1440</v>
      </c>
      <c r="I81" s="7">
        <f t="shared" si="6"/>
        <v>10226.4</v>
      </c>
      <c r="J81" s="3">
        <f t="shared" si="9"/>
        <v>44831.4</v>
      </c>
    </row>
    <row r="82" spans="1:10" x14ac:dyDescent="0.35">
      <c r="A82" s="1">
        <v>44093</v>
      </c>
      <c r="C82" s="2" t="s">
        <v>4</v>
      </c>
      <c r="D82" s="3">
        <f t="shared" si="10"/>
        <v>8550</v>
      </c>
      <c r="E82" s="19">
        <f t="shared" si="7"/>
        <v>34605</v>
      </c>
      <c r="H82" s="2">
        <f t="shared" ref="H82:H91" si="11">IF(H83+$N$7&lt;$N$3,H83+$N$7,0)</f>
        <v>1320</v>
      </c>
      <c r="I82" s="7">
        <f t="shared" si="6"/>
        <v>10226.4</v>
      </c>
      <c r="J82" s="3">
        <f t="shared" si="9"/>
        <v>44831.4</v>
      </c>
    </row>
    <row r="83" spans="1:10" x14ac:dyDescent="0.35">
      <c r="A83" s="1">
        <v>44094</v>
      </c>
      <c r="C83" s="2" t="s">
        <v>4</v>
      </c>
      <c r="D83" s="3">
        <f t="shared" si="10"/>
        <v>8100</v>
      </c>
      <c r="E83" s="19">
        <f t="shared" si="7"/>
        <v>34605</v>
      </c>
      <c r="H83" s="2">
        <f t="shared" si="11"/>
        <v>1200</v>
      </c>
      <c r="I83" s="7">
        <f t="shared" si="6"/>
        <v>10226.4</v>
      </c>
      <c r="J83" s="3">
        <f t="shared" si="9"/>
        <v>44831.4</v>
      </c>
    </row>
    <row r="84" spans="1:10" x14ac:dyDescent="0.35">
      <c r="A84" s="1">
        <v>44095</v>
      </c>
      <c r="C84" s="2" t="s">
        <v>4</v>
      </c>
      <c r="D84" s="3">
        <f t="shared" si="10"/>
        <v>7650</v>
      </c>
      <c r="E84" s="19">
        <f t="shared" si="7"/>
        <v>34605</v>
      </c>
      <c r="H84" s="2">
        <f t="shared" si="11"/>
        <v>1080</v>
      </c>
      <c r="I84" s="7">
        <f t="shared" si="6"/>
        <v>10226.4</v>
      </c>
      <c r="J84" s="3">
        <f t="shared" si="9"/>
        <v>44831.4</v>
      </c>
    </row>
    <row r="85" spans="1:10" x14ac:dyDescent="0.35">
      <c r="A85" s="1">
        <v>44096</v>
      </c>
      <c r="C85" s="2" t="s">
        <v>4</v>
      </c>
      <c r="D85" s="3">
        <f t="shared" si="10"/>
        <v>7200</v>
      </c>
      <c r="E85" s="19">
        <f t="shared" si="7"/>
        <v>34605</v>
      </c>
      <c r="H85" s="2">
        <f t="shared" si="11"/>
        <v>960</v>
      </c>
      <c r="I85" s="7">
        <f t="shared" si="6"/>
        <v>10226.4</v>
      </c>
      <c r="J85" s="3">
        <f t="shared" si="9"/>
        <v>44831.4</v>
      </c>
    </row>
    <row r="86" spans="1:10" x14ac:dyDescent="0.35">
      <c r="A86" s="1">
        <v>44097</v>
      </c>
      <c r="C86" s="2" t="s">
        <v>4</v>
      </c>
      <c r="D86" s="3">
        <f t="shared" si="10"/>
        <v>6750</v>
      </c>
      <c r="E86" s="19">
        <f t="shared" si="7"/>
        <v>34605</v>
      </c>
      <c r="H86" s="2">
        <f t="shared" si="11"/>
        <v>840</v>
      </c>
      <c r="I86" s="7">
        <f t="shared" si="6"/>
        <v>10226.4</v>
      </c>
      <c r="J86" s="3">
        <f t="shared" si="9"/>
        <v>44831.4</v>
      </c>
    </row>
    <row r="87" spans="1:10" x14ac:dyDescent="0.35">
      <c r="A87" s="1">
        <v>44098</v>
      </c>
      <c r="C87" s="2" t="s">
        <v>4</v>
      </c>
      <c r="D87" s="3">
        <f t="shared" si="10"/>
        <v>6300</v>
      </c>
      <c r="E87" s="19">
        <f t="shared" si="7"/>
        <v>34605</v>
      </c>
      <c r="H87" s="2">
        <f t="shared" si="11"/>
        <v>720</v>
      </c>
      <c r="I87" s="7">
        <f t="shared" si="6"/>
        <v>10226.4</v>
      </c>
      <c r="J87" s="3">
        <f t="shared" si="9"/>
        <v>44831.4</v>
      </c>
    </row>
    <row r="88" spans="1:10" x14ac:dyDescent="0.35">
      <c r="A88" s="1">
        <v>44099</v>
      </c>
      <c r="C88" s="2" t="s">
        <v>4</v>
      </c>
      <c r="D88" s="3">
        <f t="shared" si="10"/>
        <v>5850</v>
      </c>
      <c r="E88" s="19">
        <f t="shared" si="7"/>
        <v>34605</v>
      </c>
      <c r="H88" s="2">
        <f t="shared" si="11"/>
        <v>600</v>
      </c>
      <c r="I88" s="7">
        <f t="shared" si="6"/>
        <v>10226.4</v>
      </c>
      <c r="J88" s="3">
        <f t="shared" si="9"/>
        <v>44831.4</v>
      </c>
    </row>
    <row r="89" spans="1:10" x14ac:dyDescent="0.35">
      <c r="A89" s="1">
        <v>44100</v>
      </c>
      <c r="C89" s="2" t="s">
        <v>4</v>
      </c>
      <c r="D89" s="3">
        <f t="shared" si="10"/>
        <v>5400</v>
      </c>
      <c r="E89" s="19">
        <f t="shared" si="7"/>
        <v>34605</v>
      </c>
      <c r="H89" s="2">
        <f t="shared" si="11"/>
        <v>480</v>
      </c>
      <c r="I89" s="7">
        <f t="shared" si="6"/>
        <v>10226.4</v>
      </c>
      <c r="J89" s="3">
        <f t="shared" si="9"/>
        <v>44831.4</v>
      </c>
    </row>
    <row r="90" spans="1:10" x14ac:dyDescent="0.35">
      <c r="A90" s="1">
        <v>44101</v>
      </c>
      <c r="C90" s="2" t="s">
        <v>4</v>
      </c>
      <c r="D90" s="3">
        <f t="shared" si="10"/>
        <v>4950</v>
      </c>
      <c r="E90" s="19">
        <f t="shared" si="7"/>
        <v>34605</v>
      </c>
      <c r="H90" s="2">
        <f t="shared" si="11"/>
        <v>360</v>
      </c>
      <c r="I90" s="7">
        <f t="shared" si="6"/>
        <v>10226.4</v>
      </c>
      <c r="J90" s="3">
        <f t="shared" si="9"/>
        <v>44831.4</v>
      </c>
    </row>
    <row r="91" spans="1:10" x14ac:dyDescent="0.35">
      <c r="A91" s="1">
        <v>44102</v>
      </c>
      <c r="C91" s="2" t="s">
        <v>4</v>
      </c>
      <c r="D91" s="3">
        <f t="shared" si="10"/>
        <v>4500</v>
      </c>
      <c r="E91" s="19">
        <f t="shared" si="7"/>
        <v>34605</v>
      </c>
      <c r="H91" s="2">
        <f t="shared" si="11"/>
        <v>240</v>
      </c>
      <c r="I91" s="7">
        <f t="shared" si="6"/>
        <v>10226.4</v>
      </c>
      <c r="J91" s="3">
        <f t="shared" si="9"/>
        <v>44831.4</v>
      </c>
    </row>
    <row r="92" spans="1:10" x14ac:dyDescent="0.35">
      <c r="A92" s="1">
        <v>44103</v>
      </c>
      <c r="C92" s="2" t="s">
        <v>4</v>
      </c>
      <c r="D92" s="3">
        <f t="shared" si="10"/>
        <v>4050</v>
      </c>
      <c r="E92" s="19">
        <f t="shared" si="7"/>
        <v>34605</v>
      </c>
      <c r="H92" s="2">
        <f>IF(H93+$N$7&lt;$N$3,H93+$N$7,0)</f>
        <v>120</v>
      </c>
      <c r="I92" s="7">
        <f t="shared" si="6"/>
        <v>10226.4</v>
      </c>
      <c r="J92" s="3">
        <f t="shared" si="9"/>
        <v>44831.4</v>
      </c>
    </row>
    <row r="93" spans="1:10" x14ac:dyDescent="0.35">
      <c r="A93" s="4">
        <v>44104</v>
      </c>
      <c r="B93" s="5"/>
      <c r="C93" s="2" t="s">
        <v>4</v>
      </c>
      <c r="D93" s="6">
        <v>0</v>
      </c>
      <c r="E93" s="20">
        <f>(D92-D93)*$L$15+(D92-N6)*N5</f>
        <v>577485</v>
      </c>
      <c r="F93" s="5"/>
      <c r="G93" s="5"/>
      <c r="H93" s="5">
        <v>0</v>
      </c>
      <c r="I93" s="22">
        <f t="shared" si="6"/>
        <v>0</v>
      </c>
      <c r="J93" s="3">
        <f t="shared" si="9"/>
        <v>577485</v>
      </c>
    </row>
    <row r="94" spans="1:10" x14ac:dyDescent="0.35">
      <c r="A94" s="1">
        <v>44105</v>
      </c>
      <c r="B94" s="2">
        <v>200000</v>
      </c>
      <c r="C94" s="14" t="s">
        <v>3</v>
      </c>
      <c r="D94" s="2">
        <f>MIN(N8,80000)</f>
        <v>870</v>
      </c>
      <c r="E94" s="21">
        <f>0-N4</f>
        <v>-200</v>
      </c>
      <c r="J94" s="3">
        <f t="shared" si="9"/>
        <v>-200</v>
      </c>
    </row>
    <row r="95" spans="1:10" x14ac:dyDescent="0.35">
      <c r="A95" s="1">
        <v>44106</v>
      </c>
      <c r="C95" s="2" t="s">
        <v>3</v>
      </c>
      <c r="D95" s="2">
        <f>MIN(D94+$N$8,80000)</f>
        <v>1740</v>
      </c>
      <c r="E95" s="21">
        <f t="shared" ref="E95:E124" si="12">0-B95</f>
        <v>0</v>
      </c>
      <c r="J95" s="3">
        <f t="shared" si="9"/>
        <v>0</v>
      </c>
    </row>
    <row r="96" spans="1:10" x14ac:dyDescent="0.35">
      <c r="A96" s="1">
        <v>44107</v>
      </c>
      <c r="C96" s="2" t="s">
        <v>3</v>
      </c>
      <c r="D96" s="2">
        <f t="shared" ref="D96:D159" si="13">MIN(D95+$N$8,80000)</f>
        <v>2610</v>
      </c>
      <c r="E96" s="21">
        <f t="shared" si="12"/>
        <v>0</v>
      </c>
      <c r="J96" s="3">
        <f t="shared" si="9"/>
        <v>0</v>
      </c>
    </row>
    <row r="97" spans="1:10" x14ac:dyDescent="0.35">
      <c r="A97" s="1">
        <v>44108</v>
      </c>
      <c r="C97" s="2" t="s">
        <v>3</v>
      </c>
      <c r="D97" s="2">
        <f t="shared" si="13"/>
        <v>3480</v>
      </c>
      <c r="E97" s="21">
        <f t="shared" si="12"/>
        <v>0</v>
      </c>
      <c r="J97" s="3">
        <f t="shared" si="9"/>
        <v>0</v>
      </c>
    </row>
    <row r="98" spans="1:10" x14ac:dyDescent="0.35">
      <c r="A98" s="1">
        <v>44109</v>
      </c>
      <c r="C98" s="2" t="s">
        <v>3</v>
      </c>
      <c r="D98" s="2">
        <f t="shared" si="13"/>
        <v>4350</v>
      </c>
      <c r="E98" s="21">
        <f t="shared" si="12"/>
        <v>0</v>
      </c>
      <c r="J98" s="3">
        <f t="shared" si="9"/>
        <v>0</v>
      </c>
    </row>
    <row r="99" spans="1:10" x14ac:dyDescent="0.35">
      <c r="A99" s="1">
        <v>44110</v>
      </c>
      <c r="C99" s="2" t="s">
        <v>3</v>
      </c>
      <c r="D99" s="2">
        <f t="shared" si="13"/>
        <v>5220</v>
      </c>
      <c r="E99" s="21">
        <f t="shared" si="12"/>
        <v>0</v>
      </c>
      <c r="J99" s="3">
        <f t="shared" si="9"/>
        <v>0</v>
      </c>
    </row>
    <row r="100" spans="1:10" x14ac:dyDescent="0.35">
      <c r="A100" s="1">
        <v>44111</v>
      </c>
      <c r="C100" s="2" t="s">
        <v>3</v>
      </c>
      <c r="D100" s="2">
        <f t="shared" si="13"/>
        <v>6090</v>
      </c>
      <c r="E100" s="21">
        <f t="shared" si="12"/>
        <v>0</v>
      </c>
      <c r="J100" s="3">
        <f t="shared" si="9"/>
        <v>0</v>
      </c>
    </row>
    <row r="101" spans="1:10" x14ac:dyDescent="0.35">
      <c r="A101" s="1">
        <v>44112</v>
      </c>
      <c r="C101" s="2" t="s">
        <v>3</v>
      </c>
      <c r="D101" s="2">
        <f t="shared" si="13"/>
        <v>6960</v>
      </c>
      <c r="E101" s="21">
        <f t="shared" si="12"/>
        <v>0</v>
      </c>
      <c r="J101" s="3">
        <f t="shared" si="9"/>
        <v>0</v>
      </c>
    </row>
    <row r="102" spans="1:10" x14ac:dyDescent="0.35">
      <c r="A102" s="1">
        <v>44113</v>
      </c>
      <c r="C102" s="2" t="s">
        <v>3</v>
      </c>
      <c r="D102" s="2">
        <f t="shared" si="13"/>
        <v>7830</v>
      </c>
      <c r="E102" s="21">
        <f t="shared" si="12"/>
        <v>0</v>
      </c>
      <c r="J102" s="3">
        <f t="shared" si="9"/>
        <v>0</v>
      </c>
    </row>
    <row r="103" spans="1:10" x14ac:dyDescent="0.35">
      <c r="A103" s="1">
        <v>44114</v>
      </c>
      <c r="C103" s="2" t="s">
        <v>3</v>
      </c>
      <c r="D103" s="2">
        <f t="shared" si="13"/>
        <v>8700</v>
      </c>
      <c r="E103" s="21">
        <f t="shared" si="12"/>
        <v>0</v>
      </c>
      <c r="J103" s="3">
        <f t="shared" si="9"/>
        <v>0</v>
      </c>
    </row>
    <row r="104" spans="1:10" x14ac:dyDescent="0.35">
      <c r="A104" s="1">
        <v>44115</v>
      </c>
      <c r="C104" s="2" t="s">
        <v>3</v>
      </c>
      <c r="D104" s="2">
        <f t="shared" si="13"/>
        <v>9570</v>
      </c>
      <c r="E104" s="21">
        <f t="shared" si="12"/>
        <v>0</v>
      </c>
      <c r="J104" s="3">
        <f t="shared" si="9"/>
        <v>0</v>
      </c>
    </row>
    <row r="105" spans="1:10" x14ac:dyDescent="0.35">
      <c r="A105" s="1">
        <v>44116</v>
      </c>
      <c r="C105" s="2" t="s">
        <v>3</v>
      </c>
      <c r="D105" s="2">
        <f t="shared" si="13"/>
        <v>10440</v>
      </c>
      <c r="E105" s="21">
        <f t="shared" si="12"/>
        <v>0</v>
      </c>
      <c r="J105" s="3">
        <f t="shared" si="9"/>
        <v>0</v>
      </c>
    </row>
    <row r="106" spans="1:10" x14ac:dyDescent="0.35">
      <c r="A106" s="1">
        <v>44117</v>
      </c>
      <c r="C106" s="2" t="s">
        <v>3</v>
      </c>
      <c r="D106" s="2">
        <f t="shared" si="13"/>
        <v>11310</v>
      </c>
      <c r="E106" s="21">
        <f t="shared" si="12"/>
        <v>0</v>
      </c>
      <c r="J106" s="3">
        <f t="shared" si="9"/>
        <v>0</v>
      </c>
    </row>
    <row r="107" spans="1:10" x14ac:dyDescent="0.35">
      <c r="A107" s="1">
        <v>44118</v>
      </c>
      <c r="C107" s="2" t="s">
        <v>3</v>
      </c>
      <c r="D107" s="2">
        <f t="shared" si="13"/>
        <v>12180</v>
      </c>
      <c r="E107" s="21">
        <f t="shared" si="12"/>
        <v>0</v>
      </c>
      <c r="J107" s="3">
        <f t="shared" si="9"/>
        <v>0</v>
      </c>
    </row>
    <row r="108" spans="1:10" x14ac:dyDescent="0.35">
      <c r="A108" s="1">
        <v>44119</v>
      </c>
      <c r="C108" s="2" t="s">
        <v>3</v>
      </c>
      <c r="D108" s="2">
        <f t="shared" si="13"/>
        <v>13050</v>
      </c>
      <c r="E108" s="21">
        <f t="shared" si="12"/>
        <v>0</v>
      </c>
      <c r="J108" s="3">
        <f t="shared" si="9"/>
        <v>0</v>
      </c>
    </row>
    <row r="109" spans="1:10" x14ac:dyDescent="0.35">
      <c r="A109" s="1">
        <v>44120</v>
      </c>
      <c r="C109" s="2" t="s">
        <v>3</v>
      </c>
      <c r="D109" s="2">
        <f t="shared" si="13"/>
        <v>13920</v>
      </c>
      <c r="E109" s="21">
        <f t="shared" si="12"/>
        <v>0</v>
      </c>
      <c r="J109" s="3">
        <f t="shared" si="9"/>
        <v>0</v>
      </c>
    </row>
    <row r="110" spans="1:10" x14ac:dyDescent="0.35">
      <c r="A110" s="1">
        <v>44121</v>
      </c>
      <c r="C110" s="2" t="s">
        <v>3</v>
      </c>
      <c r="D110" s="2">
        <f t="shared" si="13"/>
        <v>14790</v>
      </c>
      <c r="E110" s="21">
        <f t="shared" si="12"/>
        <v>0</v>
      </c>
      <c r="J110" s="3">
        <f t="shared" si="9"/>
        <v>0</v>
      </c>
    </row>
    <row r="111" spans="1:10" x14ac:dyDescent="0.35">
      <c r="A111" s="1">
        <v>44122</v>
      </c>
      <c r="C111" s="2" t="s">
        <v>3</v>
      </c>
      <c r="D111" s="2">
        <f t="shared" si="13"/>
        <v>15660</v>
      </c>
      <c r="E111" s="21">
        <f t="shared" si="12"/>
        <v>0</v>
      </c>
      <c r="J111" s="3">
        <f t="shared" si="9"/>
        <v>0</v>
      </c>
    </row>
    <row r="112" spans="1:10" x14ac:dyDescent="0.35">
      <c r="A112" s="1">
        <v>44123</v>
      </c>
      <c r="C112" s="2" t="s">
        <v>3</v>
      </c>
      <c r="D112" s="2">
        <f t="shared" si="13"/>
        <v>16530</v>
      </c>
      <c r="E112" s="21">
        <f t="shared" si="12"/>
        <v>0</v>
      </c>
      <c r="J112" s="3">
        <f t="shared" si="9"/>
        <v>0</v>
      </c>
    </row>
    <row r="113" spans="1:10" x14ac:dyDescent="0.35">
      <c r="A113" s="1">
        <v>44124</v>
      </c>
      <c r="C113" s="2" t="s">
        <v>3</v>
      </c>
      <c r="D113" s="2">
        <f t="shared" si="13"/>
        <v>17400</v>
      </c>
      <c r="E113" s="21">
        <f t="shared" si="12"/>
        <v>0</v>
      </c>
      <c r="J113" s="3">
        <f t="shared" si="9"/>
        <v>0</v>
      </c>
    </row>
    <row r="114" spans="1:10" x14ac:dyDescent="0.35">
      <c r="A114" s="1">
        <v>44125</v>
      </c>
      <c r="C114" s="2" t="s">
        <v>3</v>
      </c>
      <c r="D114" s="2">
        <f t="shared" si="13"/>
        <v>18270</v>
      </c>
      <c r="E114" s="21">
        <f t="shared" si="12"/>
        <v>0</v>
      </c>
      <c r="J114" s="3">
        <f t="shared" si="9"/>
        <v>0</v>
      </c>
    </row>
    <row r="115" spans="1:10" x14ac:dyDescent="0.35">
      <c r="A115" s="1">
        <v>44126</v>
      </c>
      <c r="C115" s="2" t="s">
        <v>3</v>
      </c>
      <c r="D115" s="2">
        <f t="shared" si="13"/>
        <v>19140</v>
      </c>
      <c r="E115" s="21">
        <f t="shared" si="12"/>
        <v>0</v>
      </c>
      <c r="J115" s="3">
        <f t="shared" si="9"/>
        <v>0</v>
      </c>
    </row>
    <row r="116" spans="1:10" x14ac:dyDescent="0.35">
      <c r="A116" s="1">
        <v>44127</v>
      </c>
      <c r="C116" s="2" t="s">
        <v>3</v>
      </c>
      <c r="D116" s="2">
        <f t="shared" si="13"/>
        <v>20010</v>
      </c>
      <c r="E116" s="21">
        <f t="shared" si="12"/>
        <v>0</v>
      </c>
      <c r="J116" s="3">
        <f t="shared" si="9"/>
        <v>0</v>
      </c>
    </row>
    <row r="117" spans="1:10" x14ac:dyDescent="0.35">
      <c r="A117" s="1">
        <v>44128</v>
      </c>
      <c r="C117" s="2" t="s">
        <v>3</v>
      </c>
      <c r="D117" s="2">
        <f t="shared" si="13"/>
        <v>20880</v>
      </c>
      <c r="E117" s="21">
        <f t="shared" si="12"/>
        <v>0</v>
      </c>
      <c r="J117" s="3">
        <f t="shared" si="9"/>
        <v>0</v>
      </c>
    </row>
    <row r="118" spans="1:10" x14ac:dyDescent="0.35">
      <c r="A118" s="1">
        <v>44129</v>
      </c>
      <c r="C118" s="2" t="s">
        <v>3</v>
      </c>
      <c r="D118" s="2">
        <f t="shared" si="13"/>
        <v>21750</v>
      </c>
      <c r="E118" s="21">
        <f t="shared" si="12"/>
        <v>0</v>
      </c>
      <c r="J118" s="3">
        <f t="shared" si="9"/>
        <v>0</v>
      </c>
    </row>
    <row r="119" spans="1:10" x14ac:dyDescent="0.35">
      <c r="A119" s="1">
        <v>44130</v>
      </c>
      <c r="C119" s="2" t="s">
        <v>3</v>
      </c>
      <c r="D119" s="2">
        <f t="shared" si="13"/>
        <v>22620</v>
      </c>
      <c r="E119" s="21">
        <f t="shared" si="12"/>
        <v>0</v>
      </c>
      <c r="J119" s="3">
        <f t="shared" si="9"/>
        <v>0</v>
      </c>
    </row>
    <row r="120" spans="1:10" x14ac:dyDescent="0.35">
      <c r="A120" s="1">
        <v>44131</v>
      </c>
      <c r="C120" s="2" t="s">
        <v>3</v>
      </c>
      <c r="D120" s="2">
        <f t="shared" si="13"/>
        <v>23490</v>
      </c>
      <c r="E120" s="21">
        <f t="shared" si="12"/>
        <v>0</v>
      </c>
      <c r="J120" s="3">
        <f t="shared" si="9"/>
        <v>0</v>
      </c>
    </row>
    <row r="121" spans="1:10" x14ac:dyDescent="0.35">
      <c r="A121" s="1">
        <v>44132</v>
      </c>
      <c r="C121" s="2" t="s">
        <v>3</v>
      </c>
      <c r="D121" s="2">
        <f t="shared" si="13"/>
        <v>24360</v>
      </c>
      <c r="E121" s="21">
        <f t="shared" si="12"/>
        <v>0</v>
      </c>
      <c r="J121" s="3">
        <f t="shared" si="9"/>
        <v>0</v>
      </c>
    </row>
    <row r="122" spans="1:10" x14ac:dyDescent="0.35">
      <c r="A122" s="1">
        <v>44133</v>
      </c>
      <c r="C122" s="2" t="s">
        <v>3</v>
      </c>
      <c r="D122" s="2">
        <f t="shared" si="13"/>
        <v>25230</v>
      </c>
      <c r="E122" s="21">
        <f t="shared" si="12"/>
        <v>0</v>
      </c>
      <c r="J122" s="3">
        <f t="shared" si="9"/>
        <v>0</v>
      </c>
    </row>
    <row r="123" spans="1:10" x14ac:dyDescent="0.35">
      <c r="A123" s="1">
        <v>44134</v>
      </c>
      <c r="C123" s="2" t="s">
        <v>3</v>
      </c>
      <c r="D123" s="2">
        <f t="shared" si="13"/>
        <v>26100</v>
      </c>
      <c r="E123" s="21">
        <f t="shared" si="12"/>
        <v>0</v>
      </c>
      <c r="J123" s="3">
        <f t="shared" si="9"/>
        <v>0</v>
      </c>
    </row>
    <row r="124" spans="1:10" x14ac:dyDescent="0.35">
      <c r="A124" s="1">
        <v>44135</v>
      </c>
      <c r="C124" s="2" t="s">
        <v>3</v>
      </c>
      <c r="D124" s="2">
        <f t="shared" si="13"/>
        <v>26970</v>
      </c>
      <c r="E124" s="21">
        <f t="shared" si="12"/>
        <v>0</v>
      </c>
      <c r="J124" s="3">
        <f t="shared" si="9"/>
        <v>0</v>
      </c>
    </row>
    <row r="125" spans="1:10" x14ac:dyDescent="0.35">
      <c r="A125" s="1">
        <v>44136</v>
      </c>
      <c r="B125" s="2">
        <v>200000</v>
      </c>
      <c r="C125" s="2" t="s">
        <v>3</v>
      </c>
      <c r="D125" s="2">
        <f t="shared" si="13"/>
        <v>27840</v>
      </c>
      <c r="E125" s="21">
        <f>-N4</f>
        <v>-200</v>
      </c>
      <c r="J125" s="3">
        <f t="shared" si="9"/>
        <v>-200</v>
      </c>
    </row>
    <row r="126" spans="1:10" x14ac:dyDescent="0.35">
      <c r="A126" s="1">
        <v>44137</v>
      </c>
      <c r="C126" s="2" t="s">
        <v>3</v>
      </c>
      <c r="D126" s="2">
        <f t="shared" si="13"/>
        <v>28710</v>
      </c>
      <c r="E126" s="21">
        <f t="shared" ref="E126:E154" si="14">0-B126</f>
        <v>0</v>
      </c>
      <c r="J126" s="3">
        <f t="shared" si="9"/>
        <v>0</v>
      </c>
    </row>
    <row r="127" spans="1:10" x14ac:dyDescent="0.35">
      <c r="A127" s="1">
        <v>44138</v>
      </c>
      <c r="C127" s="2" t="s">
        <v>3</v>
      </c>
      <c r="D127" s="2">
        <f t="shared" si="13"/>
        <v>29580</v>
      </c>
      <c r="E127" s="21">
        <f t="shared" si="14"/>
        <v>0</v>
      </c>
      <c r="J127" s="3">
        <f t="shared" si="9"/>
        <v>0</v>
      </c>
    </row>
    <row r="128" spans="1:10" x14ac:dyDescent="0.35">
      <c r="A128" s="1">
        <v>44139</v>
      </c>
      <c r="C128" s="2" t="s">
        <v>3</v>
      </c>
      <c r="D128" s="2">
        <f t="shared" si="13"/>
        <v>30450</v>
      </c>
      <c r="E128" s="21">
        <f t="shared" si="14"/>
        <v>0</v>
      </c>
      <c r="J128" s="3">
        <f t="shared" si="9"/>
        <v>0</v>
      </c>
    </row>
    <row r="129" spans="1:10" x14ac:dyDescent="0.35">
      <c r="A129" s="1">
        <v>44140</v>
      </c>
      <c r="C129" s="2" t="s">
        <v>3</v>
      </c>
      <c r="D129" s="2">
        <f t="shared" si="13"/>
        <v>31320</v>
      </c>
      <c r="E129" s="21">
        <f t="shared" si="14"/>
        <v>0</v>
      </c>
      <c r="J129" s="3">
        <f t="shared" si="9"/>
        <v>0</v>
      </c>
    </row>
    <row r="130" spans="1:10" x14ac:dyDescent="0.35">
      <c r="A130" s="1">
        <v>44141</v>
      </c>
      <c r="C130" s="2" t="s">
        <v>3</v>
      </c>
      <c r="D130" s="2">
        <f t="shared" si="13"/>
        <v>32190</v>
      </c>
      <c r="E130" s="21">
        <f t="shared" si="14"/>
        <v>0</v>
      </c>
      <c r="J130" s="3">
        <f t="shared" si="9"/>
        <v>0</v>
      </c>
    </row>
    <row r="131" spans="1:10" x14ac:dyDescent="0.35">
      <c r="A131" s="1">
        <v>44142</v>
      </c>
      <c r="C131" s="2" t="s">
        <v>3</v>
      </c>
      <c r="D131" s="2">
        <f t="shared" si="13"/>
        <v>33060</v>
      </c>
      <c r="E131" s="21">
        <f t="shared" si="14"/>
        <v>0</v>
      </c>
      <c r="J131" s="3">
        <f t="shared" ref="J131:J194" si="15">E131+I131</f>
        <v>0</v>
      </c>
    </row>
    <row r="132" spans="1:10" x14ac:dyDescent="0.35">
      <c r="A132" s="1">
        <v>44143</v>
      </c>
      <c r="C132" s="2" t="s">
        <v>3</v>
      </c>
      <c r="D132" s="2">
        <f t="shared" si="13"/>
        <v>33930</v>
      </c>
      <c r="E132" s="21">
        <f t="shared" si="14"/>
        <v>0</v>
      </c>
      <c r="J132" s="3">
        <f t="shared" si="15"/>
        <v>0</v>
      </c>
    </row>
    <row r="133" spans="1:10" x14ac:dyDescent="0.35">
      <c r="A133" s="1">
        <v>44144</v>
      </c>
      <c r="C133" s="2" t="s">
        <v>3</v>
      </c>
      <c r="D133" s="2">
        <f t="shared" si="13"/>
        <v>34800</v>
      </c>
      <c r="E133" s="21">
        <f t="shared" si="14"/>
        <v>0</v>
      </c>
      <c r="J133" s="3">
        <f t="shared" si="15"/>
        <v>0</v>
      </c>
    </row>
    <row r="134" spans="1:10" x14ac:dyDescent="0.35">
      <c r="A134" s="1">
        <v>44145</v>
      </c>
      <c r="C134" s="2" t="s">
        <v>3</v>
      </c>
      <c r="D134" s="2">
        <f t="shared" si="13"/>
        <v>35670</v>
      </c>
      <c r="E134" s="21">
        <f t="shared" si="14"/>
        <v>0</v>
      </c>
      <c r="J134" s="3">
        <f t="shared" si="15"/>
        <v>0</v>
      </c>
    </row>
    <row r="135" spans="1:10" x14ac:dyDescent="0.35">
      <c r="A135" s="1">
        <v>44146</v>
      </c>
      <c r="C135" s="2" t="s">
        <v>3</v>
      </c>
      <c r="D135" s="2">
        <f t="shared" si="13"/>
        <v>36540</v>
      </c>
      <c r="E135" s="21">
        <f t="shared" si="14"/>
        <v>0</v>
      </c>
      <c r="J135" s="3">
        <f t="shared" si="15"/>
        <v>0</v>
      </c>
    </row>
    <row r="136" spans="1:10" x14ac:dyDescent="0.35">
      <c r="A136" s="1">
        <v>44147</v>
      </c>
      <c r="C136" s="2" t="s">
        <v>3</v>
      </c>
      <c r="D136" s="2">
        <f t="shared" si="13"/>
        <v>37410</v>
      </c>
      <c r="E136" s="21">
        <f t="shared" si="14"/>
        <v>0</v>
      </c>
      <c r="J136" s="3">
        <f t="shared" si="15"/>
        <v>0</v>
      </c>
    </row>
    <row r="137" spans="1:10" x14ac:dyDescent="0.35">
      <c r="A137" s="1">
        <v>44148</v>
      </c>
      <c r="C137" s="2" t="s">
        <v>3</v>
      </c>
      <c r="D137" s="2">
        <f t="shared" si="13"/>
        <v>38280</v>
      </c>
      <c r="E137" s="21">
        <f t="shared" si="14"/>
        <v>0</v>
      </c>
      <c r="J137" s="3">
        <f t="shared" si="15"/>
        <v>0</v>
      </c>
    </row>
    <row r="138" spans="1:10" x14ac:dyDescent="0.35">
      <c r="A138" s="1">
        <v>44149</v>
      </c>
      <c r="C138" s="2" t="s">
        <v>3</v>
      </c>
      <c r="D138" s="2">
        <f t="shared" si="13"/>
        <v>39150</v>
      </c>
      <c r="E138" s="21">
        <f t="shared" si="14"/>
        <v>0</v>
      </c>
      <c r="J138" s="3">
        <f t="shared" si="15"/>
        <v>0</v>
      </c>
    </row>
    <row r="139" spans="1:10" x14ac:dyDescent="0.35">
      <c r="A139" s="1">
        <v>44150</v>
      </c>
      <c r="C139" s="2" t="s">
        <v>3</v>
      </c>
      <c r="D139" s="2">
        <f t="shared" si="13"/>
        <v>40020</v>
      </c>
      <c r="E139" s="21">
        <f t="shared" si="14"/>
        <v>0</v>
      </c>
      <c r="J139" s="3">
        <f t="shared" si="15"/>
        <v>0</v>
      </c>
    </row>
    <row r="140" spans="1:10" x14ac:dyDescent="0.35">
      <c r="A140" s="1">
        <v>44151</v>
      </c>
      <c r="C140" s="2" t="s">
        <v>3</v>
      </c>
      <c r="D140" s="2">
        <f t="shared" si="13"/>
        <v>40890</v>
      </c>
      <c r="E140" s="21">
        <f t="shared" si="14"/>
        <v>0</v>
      </c>
      <c r="J140" s="3">
        <f t="shared" si="15"/>
        <v>0</v>
      </c>
    </row>
    <row r="141" spans="1:10" x14ac:dyDescent="0.35">
      <c r="A141" s="1">
        <v>44152</v>
      </c>
      <c r="C141" s="2" t="s">
        <v>3</v>
      </c>
      <c r="D141" s="2">
        <f t="shared" si="13"/>
        <v>41760</v>
      </c>
      <c r="E141" s="21">
        <f t="shared" si="14"/>
        <v>0</v>
      </c>
      <c r="J141" s="3">
        <f t="shared" si="15"/>
        <v>0</v>
      </c>
    </row>
    <row r="142" spans="1:10" x14ac:dyDescent="0.35">
      <c r="A142" s="1">
        <v>44153</v>
      </c>
      <c r="C142" s="2" t="s">
        <v>3</v>
      </c>
      <c r="D142" s="2">
        <f t="shared" si="13"/>
        <v>42630</v>
      </c>
      <c r="E142" s="21">
        <f t="shared" si="14"/>
        <v>0</v>
      </c>
      <c r="J142" s="3">
        <f t="shared" si="15"/>
        <v>0</v>
      </c>
    </row>
    <row r="143" spans="1:10" x14ac:dyDescent="0.35">
      <c r="A143" s="1">
        <v>44154</v>
      </c>
      <c r="C143" s="2" t="s">
        <v>3</v>
      </c>
      <c r="D143" s="2">
        <f t="shared" si="13"/>
        <v>43500</v>
      </c>
      <c r="E143" s="21">
        <f t="shared" si="14"/>
        <v>0</v>
      </c>
      <c r="J143" s="3">
        <f t="shared" si="15"/>
        <v>0</v>
      </c>
    </row>
    <row r="144" spans="1:10" x14ac:dyDescent="0.35">
      <c r="A144" s="1">
        <v>44155</v>
      </c>
      <c r="C144" s="2" t="s">
        <v>3</v>
      </c>
      <c r="D144" s="2">
        <f t="shared" si="13"/>
        <v>44370</v>
      </c>
      <c r="E144" s="21">
        <f t="shared" si="14"/>
        <v>0</v>
      </c>
      <c r="J144" s="3">
        <f t="shared" si="15"/>
        <v>0</v>
      </c>
    </row>
    <row r="145" spans="1:10" x14ac:dyDescent="0.35">
      <c r="A145" s="1">
        <v>44156</v>
      </c>
      <c r="C145" s="2" t="s">
        <v>3</v>
      </c>
      <c r="D145" s="2">
        <f t="shared" si="13"/>
        <v>45240</v>
      </c>
      <c r="E145" s="21">
        <f t="shared" si="14"/>
        <v>0</v>
      </c>
      <c r="J145" s="3">
        <f t="shared" si="15"/>
        <v>0</v>
      </c>
    </row>
    <row r="146" spans="1:10" x14ac:dyDescent="0.35">
      <c r="A146" s="1">
        <v>44157</v>
      </c>
      <c r="C146" s="2" t="s">
        <v>3</v>
      </c>
      <c r="D146" s="2">
        <f t="shared" si="13"/>
        <v>46110</v>
      </c>
      <c r="E146" s="21">
        <f t="shared" si="14"/>
        <v>0</v>
      </c>
      <c r="J146" s="3">
        <f t="shared" si="15"/>
        <v>0</v>
      </c>
    </row>
    <row r="147" spans="1:10" x14ac:dyDescent="0.35">
      <c r="A147" s="1">
        <v>44158</v>
      </c>
      <c r="C147" s="2" t="s">
        <v>3</v>
      </c>
      <c r="D147" s="2">
        <f t="shared" si="13"/>
        <v>46980</v>
      </c>
      <c r="E147" s="21">
        <f t="shared" si="14"/>
        <v>0</v>
      </c>
      <c r="J147" s="3">
        <f t="shared" si="15"/>
        <v>0</v>
      </c>
    </row>
    <row r="148" spans="1:10" x14ac:dyDescent="0.35">
      <c r="A148" s="1">
        <v>44159</v>
      </c>
      <c r="C148" s="2" t="s">
        <v>3</v>
      </c>
      <c r="D148" s="2">
        <f t="shared" si="13"/>
        <v>47850</v>
      </c>
      <c r="E148" s="21">
        <f t="shared" si="14"/>
        <v>0</v>
      </c>
      <c r="J148" s="3">
        <f t="shared" si="15"/>
        <v>0</v>
      </c>
    </row>
    <row r="149" spans="1:10" x14ac:dyDescent="0.35">
      <c r="A149" s="1">
        <v>44160</v>
      </c>
      <c r="C149" s="2" t="s">
        <v>3</v>
      </c>
      <c r="D149" s="2">
        <f t="shared" si="13"/>
        <v>48720</v>
      </c>
      <c r="E149" s="21">
        <f t="shared" si="14"/>
        <v>0</v>
      </c>
      <c r="J149" s="3">
        <f t="shared" si="15"/>
        <v>0</v>
      </c>
    </row>
    <row r="150" spans="1:10" x14ac:dyDescent="0.35">
      <c r="A150" s="1">
        <v>44161</v>
      </c>
      <c r="C150" s="2" t="s">
        <v>3</v>
      </c>
      <c r="D150" s="2">
        <f t="shared" si="13"/>
        <v>49590</v>
      </c>
      <c r="E150" s="21">
        <f t="shared" si="14"/>
        <v>0</v>
      </c>
      <c r="J150" s="3">
        <f t="shared" si="15"/>
        <v>0</v>
      </c>
    </row>
    <row r="151" spans="1:10" x14ac:dyDescent="0.35">
      <c r="A151" s="1">
        <v>44162</v>
      </c>
      <c r="C151" s="2" t="s">
        <v>3</v>
      </c>
      <c r="D151" s="2">
        <f t="shared" si="13"/>
        <v>50460</v>
      </c>
      <c r="E151" s="21">
        <f t="shared" si="14"/>
        <v>0</v>
      </c>
      <c r="J151" s="3">
        <f t="shared" si="15"/>
        <v>0</v>
      </c>
    </row>
    <row r="152" spans="1:10" x14ac:dyDescent="0.35">
      <c r="A152" s="1">
        <v>44163</v>
      </c>
      <c r="C152" s="2" t="s">
        <v>3</v>
      </c>
      <c r="D152" s="2">
        <f t="shared" si="13"/>
        <v>51330</v>
      </c>
      <c r="E152" s="21">
        <f t="shared" si="14"/>
        <v>0</v>
      </c>
      <c r="J152" s="3">
        <f t="shared" si="15"/>
        <v>0</v>
      </c>
    </row>
    <row r="153" spans="1:10" x14ac:dyDescent="0.35">
      <c r="A153" s="1">
        <v>44164</v>
      </c>
      <c r="C153" s="2" t="s">
        <v>3</v>
      </c>
      <c r="D153" s="2">
        <f t="shared" si="13"/>
        <v>52200</v>
      </c>
      <c r="E153" s="21">
        <f t="shared" si="14"/>
        <v>0</v>
      </c>
      <c r="J153" s="3">
        <f t="shared" si="15"/>
        <v>0</v>
      </c>
    </row>
    <row r="154" spans="1:10" x14ac:dyDescent="0.35">
      <c r="A154" s="1">
        <v>44165</v>
      </c>
      <c r="C154" s="2" t="s">
        <v>3</v>
      </c>
      <c r="D154" s="2">
        <f t="shared" si="13"/>
        <v>53070</v>
      </c>
      <c r="E154" s="21">
        <f t="shared" si="14"/>
        <v>0</v>
      </c>
      <c r="J154" s="3">
        <f t="shared" si="15"/>
        <v>0</v>
      </c>
    </row>
    <row r="155" spans="1:10" x14ac:dyDescent="0.35">
      <c r="A155" s="1">
        <v>44166</v>
      </c>
      <c r="B155" s="2">
        <v>200000</v>
      </c>
      <c r="C155" s="2" t="s">
        <v>3</v>
      </c>
      <c r="D155" s="2">
        <f t="shared" si="13"/>
        <v>53940</v>
      </c>
      <c r="E155" s="21">
        <f>0-N4</f>
        <v>-200</v>
      </c>
      <c r="J155" s="3">
        <f t="shared" si="15"/>
        <v>-200</v>
      </c>
    </row>
    <row r="156" spans="1:10" x14ac:dyDescent="0.35">
      <c r="A156" s="1">
        <v>44167</v>
      </c>
      <c r="C156" s="2" t="s">
        <v>3</v>
      </c>
      <c r="D156" s="2">
        <f t="shared" si="13"/>
        <v>54810</v>
      </c>
      <c r="E156" s="21">
        <f t="shared" ref="E156:E185" si="16">0-B156</f>
        <v>0</v>
      </c>
      <c r="J156" s="3">
        <f t="shared" si="15"/>
        <v>0</v>
      </c>
    </row>
    <row r="157" spans="1:10" x14ac:dyDescent="0.35">
      <c r="A157" s="1">
        <v>44168</v>
      </c>
      <c r="C157" s="2" t="s">
        <v>3</v>
      </c>
      <c r="D157" s="2">
        <f t="shared" si="13"/>
        <v>55680</v>
      </c>
      <c r="E157" s="21">
        <f t="shared" si="16"/>
        <v>0</v>
      </c>
      <c r="J157" s="3">
        <f t="shared" si="15"/>
        <v>0</v>
      </c>
    </row>
    <row r="158" spans="1:10" x14ac:dyDescent="0.35">
      <c r="A158" s="1">
        <v>44169</v>
      </c>
      <c r="C158" s="2" t="s">
        <v>3</v>
      </c>
      <c r="D158" s="2">
        <f t="shared" si="13"/>
        <v>56550</v>
      </c>
      <c r="E158" s="21">
        <f t="shared" si="16"/>
        <v>0</v>
      </c>
      <c r="J158" s="3">
        <f t="shared" si="15"/>
        <v>0</v>
      </c>
    </row>
    <row r="159" spans="1:10" x14ac:dyDescent="0.35">
      <c r="A159" s="1">
        <v>44170</v>
      </c>
      <c r="C159" s="2" t="s">
        <v>3</v>
      </c>
      <c r="D159" s="2">
        <f t="shared" si="13"/>
        <v>57420</v>
      </c>
      <c r="E159" s="21">
        <f t="shared" si="16"/>
        <v>0</v>
      </c>
      <c r="J159" s="3">
        <f t="shared" si="15"/>
        <v>0</v>
      </c>
    </row>
    <row r="160" spans="1:10" x14ac:dyDescent="0.35">
      <c r="A160" s="1">
        <v>44171</v>
      </c>
      <c r="C160" s="2" t="s">
        <v>3</v>
      </c>
      <c r="D160" s="2">
        <f t="shared" ref="D160:D185" si="17">MIN(D159+$N$8,80000)</f>
        <v>58290</v>
      </c>
      <c r="E160" s="21">
        <f t="shared" si="16"/>
        <v>0</v>
      </c>
      <c r="J160" s="3">
        <f t="shared" si="15"/>
        <v>0</v>
      </c>
    </row>
    <row r="161" spans="1:10" x14ac:dyDescent="0.35">
      <c r="A161" s="1">
        <v>44172</v>
      </c>
      <c r="C161" s="2" t="s">
        <v>3</v>
      </c>
      <c r="D161" s="2">
        <f t="shared" si="17"/>
        <v>59160</v>
      </c>
      <c r="E161" s="21">
        <f t="shared" si="16"/>
        <v>0</v>
      </c>
      <c r="J161" s="3">
        <f t="shared" si="15"/>
        <v>0</v>
      </c>
    </row>
    <row r="162" spans="1:10" x14ac:dyDescent="0.35">
      <c r="A162" s="1">
        <v>44173</v>
      </c>
      <c r="C162" s="2" t="s">
        <v>3</v>
      </c>
      <c r="D162" s="2">
        <f t="shared" si="17"/>
        <v>60030</v>
      </c>
      <c r="E162" s="21">
        <f t="shared" si="16"/>
        <v>0</v>
      </c>
      <c r="J162" s="3">
        <f t="shared" si="15"/>
        <v>0</v>
      </c>
    </row>
    <row r="163" spans="1:10" x14ac:dyDescent="0.35">
      <c r="A163" s="1">
        <v>44174</v>
      </c>
      <c r="C163" s="2" t="s">
        <v>3</v>
      </c>
      <c r="D163" s="2">
        <f t="shared" si="17"/>
        <v>60900</v>
      </c>
      <c r="E163" s="21">
        <f t="shared" si="16"/>
        <v>0</v>
      </c>
      <c r="J163" s="3">
        <f t="shared" si="15"/>
        <v>0</v>
      </c>
    </row>
    <row r="164" spans="1:10" x14ac:dyDescent="0.35">
      <c r="A164" s="1">
        <v>44175</v>
      </c>
      <c r="C164" s="2" t="s">
        <v>3</v>
      </c>
      <c r="D164" s="2">
        <f t="shared" si="17"/>
        <v>61770</v>
      </c>
      <c r="E164" s="21">
        <f t="shared" si="16"/>
        <v>0</v>
      </c>
      <c r="J164" s="3">
        <f t="shared" si="15"/>
        <v>0</v>
      </c>
    </row>
    <row r="165" spans="1:10" x14ac:dyDescent="0.35">
      <c r="A165" s="1">
        <v>44176</v>
      </c>
      <c r="C165" s="2" t="s">
        <v>3</v>
      </c>
      <c r="D165" s="2">
        <f t="shared" si="17"/>
        <v>62640</v>
      </c>
      <c r="E165" s="21">
        <f t="shared" si="16"/>
        <v>0</v>
      </c>
      <c r="J165" s="3">
        <f t="shared" si="15"/>
        <v>0</v>
      </c>
    </row>
    <row r="166" spans="1:10" x14ac:dyDescent="0.35">
      <c r="A166" s="1">
        <v>44177</v>
      </c>
      <c r="C166" s="2" t="s">
        <v>3</v>
      </c>
      <c r="D166" s="2">
        <f t="shared" si="17"/>
        <v>63510</v>
      </c>
      <c r="E166" s="21">
        <f t="shared" si="16"/>
        <v>0</v>
      </c>
      <c r="J166" s="3">
        <f t="shared" si="15"/>
        <v>0</v>
      </c>
    </row>
    <row r="167" spans="1:10" x14ac:dyDescent="0.35">
      <c r="A167" s="1">
        <v>44178</v>
      </c>
      <c r="C167" s="2" t="s">
        <v>3</v>
      </c>
      <c r="D167" s="2">
        <f t="shared" si="17"/>
        <v>64380</v>
      </c>
      <c r="E167" s="21">
        <f t="shared" si="16"/>
        <v>0</v>
      </c>
      <c r="J167" s="3">
        <f t="shared" si="15"/>
        <v>0</v>
      </c>
    </row>
    <row r="168" spans="1:10" x14ac:dyDescent="0.35">
      <c r="A168" s="1">
        <v>44179</v>
      </c>
      <c r="C168" s="2" t="s">
        <v>3</v>
      </c>
      <c r="D168" s="2">
        <f t="shared" si="17"/>
        <v>65250</v>
      </c>
      <c r="E168" s="21">
        <f t="shared" si="16"/>
        <v>0</v>
      </c>
      <c r="J168" s="3">
        <f t="shared" si="15"/>
        <v>0</v>
      </c>
    </row>
    <row r="169" spans="1:10" x14ac:dyDescent="0.35">
      <c r="A169" s="1">
        <v>44180</v>
      </c>
      <c r="C169" s="2" t="s">
        <v>3</v>
      </c>
      <c r="D169" s="2">
        <f t="shared" si="17"/>
        <v>66120</v>
      </c>
      <c r="E169" s="21">
        <f t="shared" si="16"/>
        <v>0</v>
      </c>
      <c r="J169" s="3">
        <f t="shared" si="15"/>
        <v>0</v>
      </c>
    </row>
    <row r="170" spans="1:10" x14ac:dyDescent="0.35">
      <c r="A170" s="1">
        <v>44181</v>
      </c>
      <c r="C170" s="2" t="s">
        <v>3</v>
      </c>
      <c r="D170" s="2">
        <f t="shared" si="17"/>
        <v>66990</v>
      </c>
      <c r="E170" s="21">
        <f t="shared" si="16"/>
        <v>0</v>
      </c>
      <c r="J170" s="3">
        <f t="shared" si="15"/>
        <v>0</v>
      </c>
    </row>
    <row r="171" spans="1:10" x14ac:dyDescent="0.35">
      <c r="A171" s="1">
        <v>44182</v>
      </c>
      <c r="C171" s="2" t="s">
        <v>3</v>
      </c>
      <c r="D171" s="2">
        <f t="shared" si="17"/>
        <v>67860</v>
      </c>
      <c r="E171" s="21">
        <f t="shared" si="16"/>
        <v>0</v>
      </c>
      <c r="J171" s="3">
        <f t="shared" si="15"/>
        <v>0</v>
      </c>
    </row>
    <row r="172" spans="1:10" x14ac:dyDescent="0.35">
      <c r="A172" s="1">
        <v>44183</v>
      </c>
      <c r="C172" s="2" t="s">
        <v>3</v>
      </c>
      <c r="D172" s="2">
        <f t="shared" si="17"/>
        <v>68730</v>
      </c>
      <c r="E172" s="21">
        <f t="shared" si="16"/>
        <v>0</v>
      </c>
      <c r="J172" s="3">
        <f t="shared" si="15"/>
        <v>0</v>
      </c>
    </row>
    <row r="173" spans="1:10" x14ac:dyDescent="0.35">
      <c r="A173" s="1">
        <v>44184</v>
      </c>
      <c r="C173" s="2" t="s">
        <v>3</v>
      </c>
      <c r="D173" s="2">
        <f t="shared" si="17"/>
        <v>69600</v>
      </c>
      <c r="E173" s="21">
        <f t="shared" si="16"/>
        <v>0</v>
      </c>
      <c r="J173" s="3">
        <f t="shared" si="15"/>
        <v>0</v>
      </c>
    </row>
    <row r="174" spans="1:10" x14ac:dyDescent="0.35">
      <c r="A174" s="1">
        <v>44185</v>
      </c>
      <c r="C174" s="2" t="s">
        <v>3</v>
      </c>
      <c r="D174" s="2">
        <f t="shared" si="17"/>
        <v>70470</v>
      </c>
      <c r="E174" s="21">
        <f t="shared" si="16"/>
        <v>0</v>
      </c>
      <c r="J174" s="3">
        <f t="shared" si="15"/>
        <v>0</v>
      </c>
    </row>
    <row r="175" spans="1:10" x14ac:dyDescent="0.35">
      <c r="A175" s="1">
        <v>44186</v>
      </c>
      <c r="C175" s="2" t="s">
        <v>3</v>
      </c>
      <c r="D175" s="2">
        <f t="shared" si="17"/>
        <v>71340</v>
      </c>
      <c r="E175" s="21">
        <f t="shared" si="16"/>
        <v>0</v>
      </c>
      <c r="J175" s="3">
        <f t="shared" si="15"/>
        <v>0</v>
      </c>
    </row>
    <row r="176" spans="1:10" x14ac:dyDescent="0.35">
      <c r="A176" s="1">
        <v>44187</v>
      </c>
      <c r="C176" s="2" t="s">
        <v>3</v>
      </c>
      <c r="D176" s="2">
        <f t="shared" si="17"/>
        <v>72210</v>
      </c>
      <c r="E176" s="21">
        <f t="shared" si="16"/>
        <v>0</v>
      </c>
      <c r="J176" s="3">
        <f t="shared" si="15"/>
        <v>0</v>
      </c>
    </row>
    <row r="177" spans="1:10" x14ac:dyDescent="0.35">
      <c r="A177" s="1">
        <v>44188</v>
      </c>
      <c r="C177" s="2" t="s">
        <v>3</v>
      </c>
      <c r="D177" s="2">
        <f t="shared" si="17"/>
        <v>73080</v>
      </c>
      <c r="E177" s="21">
        <f t="shared" si="16"/>
        <v>0</v>
      </c>
      <c r="J177" s="3">
        <f t="shared" si="15"/>
        <v>0</v>
      </c>
    </row>
    <row r="178" spans="1:10" x14ac:dyDescent="0.35">
      <c r="A178" s="1">
        <v>44189</v>
      </c>
      <c r="C178" s="2" t="s">
        <v>3</v>
      </c>
      <c r="D178" s="2">
        <f t="shared" si="17"/>
        <v>73950</v>
      </c>
      <c r="E178" s="21">
        <f t="shared" si="16"/>
        <v>0</v>
      </c>
      <c r="J178" s="3">
        <f t="shared" si="15"/>
        <v>0</v>
      </c>
    </row>
    <row r="179" spans="1:10" x14ac:dyDescent="0.35">
      <c r="A179" s="1">
        <v>44190</v>
      </c>
      <c r="C179" s="2" t="s">
        <v>3</v>
      </c>
      <c r="D179" s="2">
        <f t="shared" si="17"/>
        <v>74820</v>
      </c>
      <c r="E179" s="21">
        <f t="shared" si="16"/>
        <v>0</v>
      </c>
      <c r="J179" s="3">
        <f t="shared" si="15"/>
        <v>0</v>
      </c>
    </row>
    <row r="180" spans="1:10" x14ac:dyDescent="0.35">
      <c r="A180" s="1">
        <v>44191</v>
      </c>
      <c r="C180" s="2" t="s">
        <v>3</v>
      </c>
      <c r="D180" s="2">
        <f t="shared" si="17"/>
        <v>75690</v>
      </c>
      <c r="E180" s="21">
        <f t="shared" si="16"/>
        <v>0</v>
      </c>
      <c r="J180" s="3">
        <f t="shared" si="15"/>
        <v>0</v>
      </c>
    </row>
    <row r="181" spans="1:10" x14ac:dyDescent="0.35">
      <c r="A181" s="1">
        <v>44192</v>
      </c>
      <c r="C181" s="2" t="s">
        <v>3</v>
      </c>
      <c r="D181" s="2">
        <f t="shared" si="17"/>
        <v>76560</v>
      </c>
      <c r="E181" s="21">
        <f t="shared" si="16"/>
        <v>0</v>
      </c>
      <c r="J181" s="3">
        <f t="shared" si="15"/>
        <v>0</v>
      </c>
    </row>
    <row r="182" spans="1:10" x14ac:dyDescent="0.35">
      <c r="A182" s="1">
        <v>44193</v>
      </c>
      <c r="C182" s="2" t="s">
        <v>3</v>
      </c>
      <c r="D182" s="2">
        <f t="shared" si="17"/>
        <v>77430</v>
      </c>
      <c r="E182" s="21">
        <f t="shared" si="16"/>
        <v>0</v>
      </c>
      <c r="J182" s="3">
        <f t="shared" si="15"/>
        <v>0</v>
      </c>
    </row>
    <row r="183" spans="1:10" x14ac:dyDescent="0.35">
      <c r="A183" s="1">
        <v>44194</v>
      </c>
      <c r="C183" s="2" t="s">
        <v>3</v>
      </c>
      <c r="D183" s="2">
        <f t="shared" si="17"/>
        <v>78300</v>
      </c>
      <c r="E183" s="21">
        <f t="shared" si="16"/>
        <v>0</v>
      </c>
      <c r="J183" s="3">
        <f t="shared" si="15"/>
        <v>0</v>
      </c>
    </row>
    <row r="184" spans="1:10" x14ac:dyDescent="0.35">
      <c r="A184" s="1">
        <v>44195</v>
      </c>
      <c r="C184" s="2" t="s">
        <v>3</v>
      </c>
      <c r="D184" s="2">
        <f t="shared" si="17"/>
        <v>79170</v>
      </c>
      <c r="E184" s="21">
        <f t="shared" si="16"/>
        <v>0</v>
      </c>
      <c r="J184" s="3">
        <f t="shared" si="15"/>
        <v>0</v>
      </c>
    </row>
    <row r="185" spans="1:10" x14ac:dyDescent="0.35">
      <c r="A185" s="1">
        <v>44196</v>
      </c>
      <c r="C185" s="2" t="s">
        <v>3</v>
      </c>
      <c r="D185" s="2">
        <f t="shared" si="17"/>
        <v>80000</v>
      </c>
      <c r="E185" s="21">
        <f t="shared" si="16"/>
        <v>0</v>
      </c>
      <c r="J185" s="3">
        <f t="shared" si="15"/>
        <v>0</v>
      </c>
    </row>
    <row r="186" spans="1:10" x14ac:dyDescent="0.35">
      <c r="A186" s="1">
        <v>44197</v>
      </c>
      <c r="B186" s="2">
        <v>200000</v>
      </c>
      <c r="C186" s="2" t="s">
        <v>4</v>
      </c>
      <c r="D186" s="2">
        <f>MAX(D185-$N$6,0)</f>
        <v>79550</v>
      </c>
      <c r="E186" s="21">
        <f>(D185-D186)*$L$20-N4</f>
        <v>63295</v>
      </c>
      <c r="J186" s="3">
        <f t="shared" si="15"/>
        <v>63295</v>
      </c>
    </row>
    <row r="187" spans="1:10" x14ac:dyDescent="0.35">
      <c r="A187" s="1">
        <v>44198</v>
      </c>
      <c r="C187" s="2" t="s">
        <v>4</v>
      </c>
      <c r="D187" s="2">
        <f t="shared" ref="D187:D250" si="18">MAX(D186-$N$6,0)</f>
        <v>79100</v>
      </c>
      <c r="E187" s="21">
        <f>(D186-D187)*$L$20</f>
        <v>63495</v>
      </c>
      <c r="J187" s="3">
        <f t="shared" si="15"/>
        <v>63495</v>
      </c>
    </row>
    <row r="188" spans="1:10" x14ac:dyDescent="0.35">
      <c r="A188" s="1">
        <v>44199</v>
      </c>
      <c r="C188" s="2" t="s">
        <v>4</v>
      </c>
      <c r="D188" s="2">
        <f t="shared" si="18"/>
        <v>78650</v>
      </c>
      <c r="E188" s="21">
        <f t="shared" ref="E188:E216" si="19">(D187-D188)*$L$20</f>
        <v>63495</v>
      </c>
      <c r="J188" s="3">
        <f t="shared" si="15"/>
        <v>63495</v>
      </c>
    </row>
    <row r="189" spans="1:10" x14ac:dyDescent="0.35">
      <c r="A189" s="1">
        <v>44200</v>
      </c>
      <c r="C189" s="2" t="s">
        <v>4</v>
      </c>
      <c r="D189" s="2">
        <f t="shared" si="18"/>
        <v>78200</v>
      </c>
      <c r="E189" s="21">
        <f t="shared" si="19"/>
        <v>63495</v>
      </c>
      <c r="J189" s="3">
        <f t="shared" si="15"/>
        <v>63495</v>
      </c>
    </row>
    <row r="190" spans="1:10" x14ac:dyDescent="0.35">
      <c r="A190" s="1">
        <v>44201</v>
      </c>
      <c r="C190" s="2" t="s">
        <v>4</v>
      </c>
      <c r="D190" s="2">
        <f t="shared" si="18"/>
        <v>77750</v>
      </c>
      <c r="E190" s="21">
        <f t="shared" si="19"/>
        <v>63495</v>
      </c>
      <c r="J190" s="3">
        <f t="shared" si="15"/>
        <v>63495</v>
      </c>
    </row>
    <row r="191" spans="1:10" x14ac:dyDescent="0.35">
      <c r="A191" s="1">
        <v>44202</v>
      </c>
      <c r="C191" s="2" t="s">
        <v>4</v>
      </c>
      <c r="D191" s="2">
        <f t="shared" si="18"/>
        <v>77300</v>
      </c>
      <c r="E191" s="21">
        <f t="shared" si="19"/>
        <v>63495</v>
      </c>
      <c r="J191" s="3">
        <f t="shared" si="15"/>
        <v>63495</v>
      </c>
    </row>
    <row r="192" spans="1:10" x14ac:dyDescent="0.35">
      <c r="A192" s="1">
        <v>44203</v>
      </c>
      <c r="C192" s="2" t="s">
        <v>4</v>
      </c>
      <c r="D192" s="2">
        <f t="shared" si="18"/>
        <v>76850</v>
      </c>
      <c r="E192" s="21">
        <f t="shared" si="19"/>
        <v>63495</v>
      </c>
      <c r="J192" s="3">
        <f t="shared" si="15"/>
        <v>63495</v>
      </c>
    </row>
    <row r="193" spans="1:10" x14ac:dyDescent="0.35">
      <c r="A193" s="1">
        <v>44204</v>
      </c>
      <c r="C193" s="2" t="s">
        <v>4</v>
      </c>
      <c r="D193" s="2">
        <f t="shared" si="18"/>
        <v>76400</v>
      </c>
      <c r="E193" s="21">
        <f t="shared" si="19"/>
        <v>63495</v>
      </c>
      <c r="J193" s="3">
        <f t="shared" si="15"/>
        <v>63495</v>
      </c>
    </row>
    <row r="194" spans="1:10" x14ac:dyDescent="0.35">
      <c r="A194" s="1">
        <v>44205</v>
      </c>
      <c r="C194" s="2" t="s">
        <v>4</v>
      </c>
      <c r="D194" s="2">
        <f t="shared" si="18"/>
        <v>75950</v>
      </c>
      <c r="E194" s="21">
        <f t="shared" si="19"/>
        <v>63495</v>
      </c>
      <c r="J194" s="3">
        <f t="shared" si="15"/>
        <v>63495</v>
      </c>
    </row>
    <row r="195" spans="1:10" x14ac:dyDescent="0.35">
      <c r="A195" s="1">
        <v>44206</v>
      </c>
      <c r="C195" s="2" t="s">
        <v>4</v>
      </c>
      <c r="D195" s="2">
        <f t="shared" si="18"/>
        <v>75500</v>
      </c>
      <c r="E195" s="21">
        <f t="shared" si="19"/>
        <v>63495</v>
      </c>
      <c r="J195" s="3">
        <f t="shared" ref="J195:J258" si="20">E195+I195</f>
        <v>63495</v>
      </c>
    </row>
    <row r="196" spans="1:10" x14ac:dyDescent="0.35">
      <c r="A196" s="1">
        <v>44207</v>
      </c>
      <c r="C196" s="2" t="s">
        <v>4</v>
      </c>
      <c r="D196" s="2">
        <f t="shared" si="18"/>
        <v>75050</v>
      </c>
      <c r="E196" s="21">
        <f t="shared" si="19"/>
        <v>63495</v>
      </c>
      <c r="J196" s="3">
        <f t="shared" si="20"/>
        <v>63495</v>
      </c>
    </row>
    <row r="197" spans="1:10" x14ac:dyDescent="0.35">
      <c r="A197" s="1">
        <v>44208</v>
      </c>
      <c r="C197" s="2" t="s">
        <v>4</v>
      </c>
      <c r="D197" s="2">
        <f t="shared" si="18"/>
        <v>74600</v>
      </c>
      <c r="E197" s="21">
        <f t="shared" si="19"/>
        <v>63495</v>
      </c>
      <c r="J197" s="3">
        <f t="shared" si="20"/>
        <v>63495</v>
      </c>
    </row>
    <row r="198" spans="1:10" x14ac:dyDescent="0.35">
      <c r="A198" s="1">
        <v>44209</v>
      </c>
      <c r="C198" s="2" t="s">
        <v>4</v>
      </c>
      <c r="D198" s="2">
        <f t="shared" si="18"/>
        <v>74150</v>
      </c>
      <c r="E198" s="21">
        <f t="shared" si="19"/>
        <v>63495</v>
      </c>
      <c r="J198" s="3">
        <f t="shared" si="20"/>
        <v>63495</v>
      </c>
    </row>
    <row r="199" spans="1:10" x14ac:dyDescent="0.35">
      <c r="A199" s="1">
        <v>44210</v>
      </c>
      <c r="C199" s="2" t="s">
        <v>4</v>
      </c>
      <c r="D199" s="2">
        <f t="shared" si="18"/>
        <v>73700</v>
      </c>
      <c r="E199" s="21">
        <f t="shared" si="19"/>
        <v>63495</v>
      </c>
      <c r="J199" s="3">
        <f t="shared" si="20"/>
        <v>63495</v>
      </c>
    </row>
    <row r="200" spans="1:10" x14ac:dyDescent="0.35">
      <c r="A200" s="1">
        <v>44211</v>
      </c>
      <c r="C200" s="2" t="s">
        <v>4</v>
      </c>
      <c r="D200" s="2">
        <f t="shared" si="18"/>
        <v>73250</v>
      </c>
      <c r="E200" s="21">
        <f t="shared" si="19"/>
        <v>63495</v>
      </c>
      <c r="J200" s="3">
        <f t="shared" si="20"/>
        <v>63495</v>
      </c>
    </row>
    <row r="201" spans="1:10" x14ac:dyDescent="0.35">
      <c r="A201" s="1">
        <v>44212</v>
      </c>
      <c r="C201" s="2" t="s">
        <v>4</v>
      </c>
      <c r="D201" s="2">
        <f t="shared" si="18"/>
        <v>72800</v>
      </c>
      <c r="E201" s="21">
        <f t="shared" si="19"/>
        <v>63495</v>
      </c>
      <c r="J201" s="3">
        <f t="shared" si="20"/>
        <v>63495</v>
      </c>
    </row>
    <row r="202" spans="1:10" x14ac:dyDescent="0.35">
      <c r="A202" s="1">
        <v>44213</v>
      </c>
      <c r="C202" s="2" t="s">
        <v>4</v>
      </c>
      <c r="D202" s="2">
        <f t="shared" si="18"/>
        <v>72350</v>
      </c>
      <c r="E202" s="21">
        <f t="shared" si="19"/>
        <v>63495</v>
      </c>
      <c r="J202" s="3">
        <f t="shared" si="20"/>
        <v>63495</v>
      </c>
    </row>
    <row r="203" spans="1:10" x14ac:dyDescent="0.35">
      <c r="A203" s="1">
        <v>44214</v>
      </c>
      <c r="C203" s="2" t="s">
        <v>4</v>
      </c>
      <c r="D203" s="2">
        <f t="shared" si="18"/>
        <v>71900</v>
      </c>
      <c r="E203" s="21">
        <f t="shared" si="19"/>
        <v>63495</v>
      </c>
      <c r="J203" s="3">
        <f t="shared" si="20"/>
        <v>63495</v>
      </c>
    </row>
    <row r="204" spans="1:10" x14ac:dyDescent="0.35">
      <c r="A204" s="1">
        <v>44215</v>
      </c>
      <c r="C204" s="2" t="s">
        <v>4</v>
      </c>
      <c r="D204" s="2">
        <f t="shared" si="18"/>
        <v>71450</v>
      </c>
      <c r="E204" s="21">
        <f t="shared" si="19"/>
        <v>63495</v>
      </c>
      <c r="J204" s="3">
        <f t="shared" si="20"/>
        <v>63495</v>
      </c>
    </row>
    <row r="205" spans="1:10" x14ac:dyDescent="0.35">
      <c r="A205" s="1">
        <v>44216</v>
      </c>
      <c r="C205" s="2" t="s">
        <v>4</v>
      </c>
      <c r="D205" s="2">
        <f t="shared" si="18"/>
        <v>71000</v>
      </c>
      <c r="E205" s="21">
        <f t="shared" si="19"/>
        <v>63495</v>
      </c>
      <c r="J205" s="3">
        <f t="shared" si="20"/>
        <v>63495</v>
      </c>
    </row>
    <row r="206" spans="1:10" x14ac:dyDescent="0.35">
      <c r="A206" s="1">
        <v>44217</v>
      </c>
      <c r="C206" s="2" t="s">
        <v>4</v>
      </c>
      <c r="D206" s="2">
        <f t="shared" si="18"/>
        <v>70550</v>
      </c>
      <c r="E206" s="21">
        <f t="shared" si="19"/>
        <v>63495</v>
      </c>
      <c r="J206" s="3">
        <f t="shared" si="20"/>
        <v>63495</v>
      </c>
    </row>
    <row r="207" spans="1:10" x14ac:dyDescent="0.35">
      <c r="A207" s="1">
        <v>44218</v>
      </c>
      <c r="C207" s="2" t="s">
        <v>4</v>
      </c>
      <c r="D207" s="2">
        <f t="shared" si="18"/>
        <v>70100</v>
      </c>
      <c r="E207" s="21">
        <f t="shared" si="19"/>
        <v>63495</v>
      </c>
      <c r="J207" s="3">
        <f t="shared" si="20"/>
        <v>63495</v>
      </c>
    </row>
    <row r="208" spans="1:10" x14ac:dyDescent="0.35">
      <c r="A208" s="1">
        <v>44219</v>
      </c>
      <c r="C208" s="2" t="s">
        <v>4</v>
      </c>
      <c r="D208" s="2">
        <f t="shared" si="18"/>
        <v>69650</v>
      </c>
      <c r="E208" s="21">
        <f t="shared" si="19"/>
        <v>63495</v>
      </c>
      <c r="J208" s="3">
        <f t="shared" si="20"/>
        <v>63495</v>
      </c>
    </row>
    <row r="209" spans="1:10" x14ac:dyDescent="0.35">
      <c r="A209" s="1">
        <v>44220</v>
      </c>
      <c r="C209" s="2" t="s">
        <v>4</v>
      </c>
      <c r="D209" s="2">
        <f t="shared" si="18"/>
        <v>69200</v>
      </c>
      <c r="E209" s="21">
        <f t="shared" si="19"/>
        <v>63495</v>
      </c>
      <c r="J209" s="3">
        <f t="shared" si="20"/>
        <v>63495</v>
      </c>
    </row>
    <row r="210" spans="1:10" x14ac:dyDescent="0.35">
      <c r="A210" s="1">
        <v>44221</v>
      </c>
      <c r="C210" s="2" t="s">
        <v>4</v>
      </c>
      <c r="D210" s="2">
        <f t="shared" si="18"/>
        <v>68750</v>
      </c>
      <c r="E210" s="21">
        <f t="shared" si="19"/>
        <v>63495</v>
      </c>
      <c r="J210" s="3">
        <f t="shared" si="20"/>
        <v>63495</v>
      </c>
    </row>
    <row r="211" spans="1:10" x14ac:dyDescent="0.35">
      <c r="A211" s="1">
        <v>44222</v>
      </c>
      <c r="C211" s="2" t="s">
        <v>4</v>
      </c>
      <c r="D211" s="2">
        <f t="shared" si="18"/>
        <v>68300</v>
      </c>
      <c r="E211" s="21">
        <f t="shared" si="19"/>
        <v>63495</v>
      </c>
      <c r="J211" s="3">
        <f t="shared" si="20"/>
        <v>63495</v>
      </c>
    </row>
    <row r="212" spans="1:10" x14ac:dyDescent="0.35">
      <c r="A212" s="1">
        <v>44223</v>
      </c>
      <c r="C212" s="2" t="s">
        <v>4</v>
      </c>
      <c r="D212" s="2">
        <f t="shared" si="18"/>
        <v>67850</v>
      </c>
      <c r="E212" s="21">
        <f t="shared" si="19"/>
        <v>63495</v>
      </c>
      <c r="J212" s="3">
        <f t="shared" si="20"/>
        <v>63495</v>
      </c>
    </row>
    <row r="213" spans="1:10" x14ac:dyDescent="0.35">
      <c r="A213" s="1">
        <v>44224</v>
      </c>
      <c r="C213" s="2" t="s">
        <v>4</v>
      </c>
      <c r="D213" s="2">
        <f t="shared" si="18"/>
        <v>67400</v>
      </c>
      <c r="E213" s="21">
        <f t="shared" si="19"/>
        <v>63495</v>
      </c>
      <c r="J213" s="3">
        <f t="shared" si="20"/>
        <v>63495</v>
      </c>
    </row>
    <row r="214" spans="1:10" x14ac:dyDescent="0.35">
      <c r="A214" s="1">
        <v>44225</v>
      </c>
      <c r="C214" s="2" t="s">
        <v>4</v>
      </c>
      <c r="D214" s="2">
        <f t="shared" si="18"/>
        <v>66950</v>
      </c>
      <c r="E214" s="21">
        <f t="shared" si="19"/>
        <v>63495</v>
      </c>
      <c r="J214" s="3">
        <f t="shared" si="20"/>
        <v>63495</v>
      </c>
    </row>
    <row r="215" spans="1:10" x14ac:dyDescent="0.35">
      <c r="A215" s="1">
        <v>44226</v>
      </c>
      <c r="C215" s="2" t="s">
        <v>4</v>
      </c>
      <c r="D215" s="2">
        <f t="shared" si="18"/>
        <v>66500</v>
      </c>
      <c r="E215" s="21">
        <f t="shared" si="19"/>
        <v>63495</v>
      </c>
      <c r="J215" s="3">
        <f t="shared" si="20"/>
        <v>63495</v>
      </c>
    </row>
    <row r="216" spans="1:10" x14ac:dyDescent="0.35">
      <c r="A216" s="1">
        <v>44227</v>
      </c>
      <c r="C216" s="2" t="s">
        <v>4</v>
      </c>
      <c r="D216" s="2">
        <f t="shared" si="18"/>
        <v>66050</v>
      </c>
      <c r="E216" s="21">
        <f t="shared" si="19"/>
        <v>63495</v>
      </c>
      <c r="J216" s="3">
        <f t="shared" si="20"/>
        <v>63495</v>
      </c>
    </row>
    <row r="217" spans="1:10" x14ac:dyDescent="0.35">
      <c r="A217" s="1">
        <v>44228</v>
      </c>
      <c r="B217" s="2">
        <v>200000</v>
      </c>
      <c r="C217" s="2" t="s">
        <v>4</v>
      </c>
      <c r="D217" s="2">
        <f t="shared" si="18"/>
        <v>65600</v>
      </c>
      <c r="E217" s="21">
        <f>(D216-D217)*$L$20-N4</f>
        <v>63295</v>
      </c>
      <c r="J217" s="3">
        <f t="shared" si="20"/>
        <v>63295</v>
      </c>
    </row>
    <row r="218" spans="1:10" x14ac:dyDescent="0.35">
      <c r="A218" s="1">
        <v>44229</v>
      </c>
      <c r="C218" s="2" t="s">
        <v>4</v>
      </c>
      <c r="D218" s="2">
        <f t="shared" si="18"/>
        <v>65150</v>
      </c>
      <c r="E218" s="21">
        <f>(D217-D218)*$L$20</f>
        <v>63495</v>
      </c>
      <c r="J218" s="3">
        <f t="shared" si="20"/>
        <v>63495</v>
      </c>
    </row>
    <row r="219" spans="1:10" x14ac:dyDescent="0.35">
      <c r="A219" s="1">
        <v>44230</v>
      </c>
      <c r="C219" s="2" t="s">
        <v>4</v>
      </c>
      <c r="D219" s="2">
        <f t="shared" si="18"/>
        <v>64700</v>
      </c>
      <c r="E219" s="21">
        <f t="shared" ref="E219:E282" si="21">(D218-D219)*$L$20</f>
        <v>63495</v>
      </c>
      <c r="J219" s="3">
        <f t="shared" si="20"/>
        <v>63495</v>
      </c>
    </row>
    <row r="220" spans="1:10" x14ac:dyDescent="0.35">
      <c r="A220" s="1">
        <v>44231</v>
      </c>
      <c r="C220" s="2" t="s">
        <v>4</v>
      </c>
      <c r="D220" s="2">
        <f t="shared" si="18"/>
        <v>64250</v>
      </c>
      <c r="E220" s="21">
        <f t="shared" si="21"/>
        <v>63495</v>
      </c>
      <c r="J220" s="3">
        <f t="shared" si="20"/>
        <v>63495</v>
      </c>
    </row>
    <row r="221" spans="1:10" x14ac:dyDescent="0.35">
      <c r="A221" s="1">
        <v>44232</v>
      </c>
      <c r="C221" s="2" t="s">
        <v>4</v>
      </c>
      <c r="D221" s="2">
        <f t="shared" si="18"/>
        <v>63800</v>
      </c>
      <c r="E221" s="21">
        <f t="shared" si="21"/>
        <v>63495</v>
      </c>
      <c r="J221" s="3">
        <f t="shared" si="20"/>
        <v>63495</v>
      </c>
    </row>
    <row r="222" spans="1:10" x14ac:dyDescent="0.35">
      <c r="A222" s="1">
        <v>44233</v>
      </c>
      <c r="C222" s="2" t="s">
        <v>4</v>
      </c>
      <c r="D222" s="2">
        <f t="shared" si="18"/>
        <v>63350</v>
      </c>
      <c r="E222" s="21">
        <f t="shared" si="21"/>
        <v>63495</v>
      </c>
      <c r="J222" s="3">
        <f t="shared" si="20"/>
        <v>63495</v>
      </c>
    </row>
    <row r="223" spans="1:10" x14ac:dyDescent="0.35">
      <c r="A223" s="1">
        <v>44234</v>
      </c>
      <c r="C223" s="2" t="s">
        <v>4</v>
      </c>
      <c r="D223" s="2">
        <f t="shared" si="18"/>
        <v>62900</v>
      </c>
      <c r="E223" s="21">
        <f t="shared" si="21"/>
        <v>63495</v>
      </c>
      <c r="J223" s="3">
        <f t="shared" si="20"/>
        <v>63495</v>
      </c>
    </row>
    <row r="224" spans="1:10" x14ac:dyDescent="0.35">
      <c r="A224" s="1">
        <v>44235</v>
      </c>
      <c r="C224" s="2" t="s">
        <v>4</v>
      </c>
      <c r="D224" s="2">
        <f t="shared" si="18"/>
        <v>62450</v>
      </c>
      <c r="E224" s="21">
        <f t="shared" si="21"/>
        <v>63495</v>
      </c>
      <c r="J224" s="3">
        <f t="shared" si="20"/>
        <v>63495</v>
      </c>
    </row>
    <row r="225" spans="1:10" x14ac:dyDescent="0.35">
      <c r="A225" s="1">
        <v>44236</v>
      </c>
      <c r="C225" s="2" t="s">
        <v>4</v>
      </c>
      <c r="D225" s="2">
        <f t="shared" si="18"/>
        <v>62000</v>
      </c>
      <c r="E225" s="21">
        <f t="shared" si="21"/>
        <v>63495</v>
      </c>
      <c r="J225" s="3">
        <f t="shared" si="20"/>
        <v>63495</v>
      </c>
    </row>
    <row r="226" spans="1:10" x14ac:dyDescent="0.35">
      <c r="A226" s="1">
        <v>44237</v>
      </c>
      <c r="C226" s="2" t="s">
        <v>4</v>
      </c>
      <c r="D226" s="2">
        <f t="shared" si="18"/>
        <v>61550</v>
      </c>
      <c r="E226" s="21">
        <f t="shared" si="21"/>
        <v>63495</v>
      </c>
      <c r="J226" s="3">
        <f t="shared" si="20"/>
        <v>63495</v>
      </c>
    </row>
    <row r="227" spans="1:10" x14ac:dyDescent="0.35">
      <c r="A227" s="1">
        <v>44238</v>
      </c>
      <c r="C227" s="2" t="s">
        <v>4</v>
      </c>
      <c r="D227" s="2">
        <f t="shared" si="18"/>
        <v>61100</v>
      </c>
      <c r="E227" s="21">
        <f t="shared" si="21"/>
        <v>63495</v>
      </c>
      <c r="J227" s="3">
        <f t="shared" si="20"/>
        <v>63495</v>
      </c>
    </row>
    <row r="228" spans="1:10" x14ac:dyDescent="0.35">
      <c r="A228" s="1">
        <v>44239</v>
      </c>
      <c r="C228" s="2" t="s">
        <v>4</v>
      </c>
      <c r="D228" s="2">
        <f t="shared" si="18"/>
        <v>60650</v>
      </c>
      <c r="E228" s="21">
        <f t="shared" si="21"/>
        <v>63495</v>
      </c>
      <c r="J228" s="3">
        <f t="shared" si="20"/>
        <v>63495</v>
      </c>
    </row>
    <row r="229" spans="1:10" x14ac:dyDescent="0.35">
      <c r="A229" s="1">
        <v>44240</v>
      </c>
      <c r="C229" s="2" t="s">
        <v>4</v>
      </c>
      <c r="D229" s="2">
        <f t="shared" si="18"/>
        <v>60200</v>
      </c>
      <c r="E229" s="21">
        <f t="shared" si="21"/>
        <v>63495</v>
      </c>
      <c r="J229" s="3">
        <f t="shared" si="20"/>
        <v>63495</v>
      </c>
    </row>
    <row r="230" spans="1:10" x14ac:dyDescent="0.35">
      <c r="A230" s="1">
        <v>44241</v>
      </c>
      <c r="C230" s="2" t="s">
        <v>4</v>
      </c>
      <c r="D230" s="2">
        <f t="shared" si="18"/>
        <v>59750</v>
      </c>
      <c r="E230" s="21">
        <f t="shared" si="21"/>
        <v>63495</v>
      </c>
      <c r="J230" s="3">
        <f t="shared" si="20"/>
        <v>63495</v>
      </c>
    </row>
    <row r="231" spans="1:10" x14ac:dyDescent="0.35">
      <c r="A231" s="1">
        <v>44242</v>
      </c>
      <c r="C231" s="2" t="s">
        <v>4</v>
      </c>
      <c r="D231" s="2">
        <f t="shared" si="18"/>
        <v>59300</v>
      </c>
      <c r="E231" s="21">
        <f t="shared" si="21"/>
        <v>63495</v>
      </c>
      <c r="J231" s="3">
        <f t="shared" si="20"/>
        <v>63495</v>
      </c>
    </row>
    <row r="232" spans="1:10" x14ac:dyDescent="0.35">
      <c r="A232" s="1">
        <v>44243</v>
      </c>
      <c r="C232" s="2" t="s">
        <v>4</v>
      </c>
      <c r="D232" s="2">
        <f t="shared" si="18"/>
        <v>58850</v>
      </c>
      <c r="E232" s="21">
        <f t="shared" si="21"/>
        <v>63495</v>
      </c>
      <c r="J232" s="3">
        <f t="shared" si="20"/>
        <v>63495</v>
      </c>
    </row>
    <row r="233" spans="1:10" x14ac:dyDescent="0.35">
      <c r="A233" s="1">
        <v>44244</v>
      </c>
      <c r="C233" s="2" t="s">
        <v>4</v>
      </c>
      <c r="D233" s="2">
        <f t="shared" si="18"/>
        <v>58400</v>
      </c>
      <c r="E233" s="21">
        <f t="shared" si="21"/>
        <v>63495</v>
      </c>
      <c r="J233" s="3">
        <f t="shared" si="20"/>
        <v>63495</v>
      </c>
    </row>
    <row r="234" spans="1:10" x14ac:dyDescent="0.35">
      <c r="A234" s="1">
        <v>44245</v>
      </c>
      <c r="C234" s="2" t="s">
        <v>4</v>
      </c>
      <c r="D234" s="2">
        <f t="shared" si="18"/>
        <v>57950</v>
      </c>
      <c r="E234" s="21">
        <f t="shared" si="21"/>
        <v>63495</v>
      </c>
      <c r="J234" s="3">
        <f t="shared" si="20"/>
        <v>63495</v>
      </c>
    </row>
    <row r="235" spans="1:10" x14ac:dyDescent="0.35">
      <c r="A235" s="1">
        <v>44246</v>
      </c>
      <c r="C235" s="2" t="s">
        <v>4</v>
      </c>
      <c r="D235" s="2">
        <f t="shared" si="18"/>
        <v>57500</v>
      </c>
      <c r="E235" s="21">
        <f t="shared" si="21"/>
        <v>63495</v>
      </c>
      <c r="J235" s="3">
        <f t="shared" si="20"/>
        <v>63495</v>
      </c>
    </row>
    <row r="236" spans="1:10" x14ac:dyDescent="0.35">
      <c r="A236" s="1">
        <v>44247</v>
      </c>
      <c r="C236" s="2" t="s">
        <v>4</v>
      </c>
      <c r="D236" s="2">
        <f t="shared" si="18"/>
        <v>57050</v>
      </c>
      <c r="E236" s="21">
        <f t="shared" si="21"/>
        <v>63495</v>
      </c>
      <c r="J236" s="3">
        <f t="shared" si="20"/>
        <v>63495</v>
      </c>
    </row>
    <row r="237" spans="1:10" x14ac:dyDescent="0.35">
      <c r="A237" s="1">
        <v>44248</v>
      </c>
      <c r="C237" s="2" t="s">
        <v>4</v>
      </c>
      <c r="D237" s="2">
        <f t="shared" si="18"/>
        <v>56600</v>
      </c>
      <c r="E237" s="21">
        <f t="shared" si="21"/>
        <v>63495</v>
      </c>
      <c r="J237" s="3">
        <f t="shared" si="20"/>
        <v>63495</v>
      </c>
    </row>
    <row r="238" spans="1:10" x14ac:dyDescent="0.35">
      <c r="A238" s="1">
        <v>44249</v>
      </c>
      <c r="C238" s="2" t="s">
        <v>4</v>
      </c>
      <c r="D238" s="2">
        <f t="shared" si="18"/>
        <v>56150</v>
      </c>
      <c r="E238" s="21">
        <f t="shared" si="21"/>
        <v>63495</v>
      </c>
      <c r="J238" s="3">
        <f t="shared" si="20"/>
        <v>63495</v>
      </c>
    </row>
    <row r="239" spans="1:10" x14ac:dyDescent="0.35">
      <c r="A239" s="1">
        <v>44250</v>
      </c>
      <c r="C239" s="2" t="s">
        <v>4</v>
      </c>
      <c r="D239" s="2">
        <f t="shared" si="18"/>
        <v>55700</v>
      </c>
      <c r="E239" s="21">
        <f t="shared" si="21"/>
        <v>63495</v>
      </c>
      <c r="J239" s="3">
        <f t="shared" si="20"/>
        <v>63495</v>
      </c>
    </row>
    <row r="240" spans="1:10" x14ac:dyDescent="0.35">
      <c r="A240" s="1">
        <v>44251</v>
      </c>
      <c r="C240" s="2" t="s">
        <v>4</v>
      </c>
      <c r="D240" s="2">
        <f t="shared" si="18"/>
        <v>55250</v>
      </c>
      <c r="E240" s="21">
        <f t="shared" si="21"/>
        <v>63495</v>
      </c>
      <c r="J240" s="3">
        <f t="shared" si="20"/>
        <v>63495</v>
      </c>
    </row>
    <row r="241" spans="1:10" x14ac:dyDescent="0.35">
      <c r="A241" s="1">
        <v>44252</v>
      </c>
      <c r="C241" s="2" t="s">
        <v>4</v>
      </c>
      <c r="D241" s="2">
        <f t="shared" si="18"/>
        <v>54800</v>
      </c>
      <c r="E241" s="21">
        <f t="shared" si="21"/>
        <v>63495</v>
      </c>
      <c r="J241" s="3">
        <f t="shared" si="20"/>
        <v>63495</v>
      </c>
    </row>
    <row r="242" spans="1:10" x14ac:dyDescent="0.35">
      <c r="A242" s="1">
        <v>44253</v>
      </c>
      <c r="C242" s="2" t="s">
        <v>4</v>
      </c>
      <c r="D242" s="2">
        <f t="shared" si="18"/>
        <v>54350</v>
      </c>
      <c r="E242" s="21">
        <f t="shared" si="21"/>
        <v>63495</v>
      </c>
      <c r="J242" s="3">
        <f t="shared" si="20"/>
        <v>63495</v>
      </c>
    </row>
    <row r="243" spans="1:10" x14ac:dyDescent="0.35">
      <c r="A243" s="1">
        <v>44254</v>
      </c>
      <c r="C243" s="2" t="s">
        <v>4</v>
      </c>
      <c r="D243" s="2">
        <f t="shared" si="18"/>
        <v>53900</v>
      </c>
      <c r="E243" s="21">
        <f t="shared" si="21"/>
        <v>63495</v>
      </c>
      <c r="J243" s="3">
        <f t="shared" si="20"/>
        <v>63495</v>
      </c>
    </row>
    <row r="244" spans="1:10" x14ac:dyDescent="0.35">
      <c r="A244" s="1">
        <v>44255</v>
      </c>
      <c r="C244" s="2" t="s">
        <v>4</v>
      </c>
      <c r="D244" s="2">
        <f t="shared" si="18"/>
        <v>53450</v>
      </c>
      <c r="E244" s="21">
        <f t="shared" si="21"/>
        <v>63495</v>
      </c>
      <c r="J244" s="3">
        <f t="shared" si="20"/>
        <v>63495</v>
      </c>
    </row>
    <row r="245" spans="1:10" x14ac:dyDescent="0.35">
      <c r="A245" s="1">
        <v>44256</v>
      </c>
      <c r="B245" s="2">
        <v>200000</v>
      </c>
      <c r="C245" s="2" t="s">
        <v>4</v>
      </c>
      <c r="D245" s="2">
        <f t="shared" si="18"/>
        <v>53000</v>
      </c>
      <c r="E245" s="21">
        <f>(D244-D245)*$L$20-N4</f>
        <v>63295</v>
      </c>
      <c r="J245" s="3">
        <f t="shared" si="20"/>
        <v>63295</v>
      </c>
    </row>
    <row r="246" spans="1:10" x14ac:dyDescent="0.35">
      <c r="A246" s="1">
        <v>44257</v>
      </c>
      <c r="C246" s="2" t="s">
        <v>4</v>
      </c>
      <c r="D246" s="2">
        <f t="shared" si="18"/>
        <v>52550</v>
      </c>
      <c r="E246" s="21">
        <f t="shared" si="21"/>
        <v>63495</v>
      </c>
      <c r="J246" s="3">
        <f t="shared" si="20"/>
        <v>63495</v>
      </c>
    </row>
    <row r="247" spans="1:10" x14ac:dyDescent="0.35">
      <c r="A247" s="1">
        <v>44258</v>
      </c>
      <c r="C247" s="2" t="s">
        <v>4</v>
      </c>
      <c r="D247" s="2">
        <f t="shared" si="18"/>
        <v>52100</v>
      </c>
      <c r="E247" s="21">
        <f t="shared" si="21"/>
        <v>63495</v>
      </c>
      <c r="J247" s="3">
        <f t="shared" si="20"/>
        <v>63495</v>
      </c>
    </row>
    <row r="248" spans="1:10" x14ac:dyDescent="0.35">
      <c r="A248" s="1">
        <v>44259</v>
      </c>
      <c r="C248" s="2" t="s">
        <v>4</v>
      </c>
      <c r="D248" s="2">
        <f t="shared" si="18"/>
        <v>51650</v>
      </c>
      <c r="E248" s="21">
        <f t="shared" si="21"/>
        <v>63495</v>
      </c>
      <c r="J248" s="3">
        <f t="shared" si="20"/>
        <v>63495</v>
      </c>
    </row>
    <row r="249" spans="1:10" x14ac:dyDescent="0.35">
      <c r="A249" s="1">
        <v>44260</v>
      </c>
      <c r="C249" s="2" t="s">
        <v>4</v>
      </c>
      <c r="D249" s="2">
        <f t="shared" si="18"/>
        <v>51200</v>
      </c>
      <c r="E249" s="21">
        <f t="shared" si="21"/>
        <v>63495</v>
      </c>
      <c r="J249" s="3">
        <f t="shared" si="20"/>
        <v>63495</v>
      </c>
    </row>
    <row r="250" spans="1:10" x14ac:dyDescent="0.35">
      <c r="A250" s="1">
        <v>44261</v>
      </c>
      <c r="C250" s="2" t="s">
        <v>4</v>
      </c>
      <c r="D250" s="2">
        <f t="shared" si="18"/>
        <v>50750</v>
      </c>
      <c r="E250" s="21">
        <f t="shared" si="21"/>
        <v>63495</v>
      </c>
      <c r="J250" s="3">
        <f t="shared" si="20"/>
        <v>63495</v>
      </c>
    </row>
    <row r="251" spans="1:10" x14ac:dyDescent="0.35">
      <c r="A251" s="1">
        <v>44262</v>
      </c>
      <c r="C251" s="2" t="s">
        <v>4</v>
      </c>
      <c r="D251" s="2">
        <f t="shared" ref="D251:D314" si="22">MAX(D250-$N$6,0)</f>
        <v>50300</v>
      </c>
      <c r="E251" s="21">
        <f t="shared" si="21"/>
        <v>63495</v>
      </c>
      <c r="J251" s="3">
        <f t="shared" si="20"/>
        <v>63495</v>
      </c>
    </row>
    <row r="252" spans="1:10" x14ac:dyDescent="0.35">
      <c r="A252" s="1">
        <v>44263</v>
      </c>
      <c r="C252" s="2" t="s">
        <v>4</v>
      </c>
      <c r="D252" s="2">
        <f t="shared" si="22"/>
        <v>49850</v>
      </c>
      <c r="E252" s="21">
        <f t="shared" si="21"/>
        <v>63495</v>
      </c>
      <c r="J252" s="3">
        <f t="shared" si="20"/>
        <v>63495</v>
      </c>
    </row>
    <row r="253" spans="1:10" x14ac:dyDescent="0.35">
      <c r="A253" s="1">
        <v>44264</v>
      </c>
      <c r="C253" s="2" t="s">
        <v>4</v>
      </c>
      <c r="D253" s="2">
        <f t="shared" si="22"/>
        <v>49400</v>
      </c>
      <c r="E253" s="21">
        <f t="shared" si="21"/>
        <v>63495</v>
      </c>
      <c r="J253" s="3">
        <f t="shared" si="20"/>
        <v>63495</v>
      </c>
    </row>
    <row r="254" spans="1:10" x14ac:dyDescent="0.35">
      <c r="A254" s="1">
        <v>44265</v>
      </c>
      <c r="C254" s="2" t="s">
        <v>4</v>
      </c>
      <c r="D254" s="2">
        <f t="shared" si="22"/>
        <v>48950</v>
      </c>
      <c r="E254" s="21">
        <f t="shared" si="21"/>
        <v>63495</v>
      </c>
      <c r="J254" s="3">
        <f t="shared" si="20"/>
        <v>63495</v>
      </c>
    </row>
    <row r="255" spans="1:10" x14ac:dyDescent="0.35">
      <c r="A255" s="1">
        <v>44266</v>
      </c>
      <c r="C255" s="2" t="s">
        <v>4</v>
      </c>
      <c r="D255" s="2">
        <f t="shared" si="22"/>
        <v>48500</v>
      </c>
      <c r="E255" s="21">
        <f t="shared" si="21"/>
        <v>63495</v>
      </c>
      <c r="J255" s="3">
        <f t="shared" si="20"/>
        <v>63495</v>
      </c>
    </row>
    <row r="256" spans="1:10" x14ac:dyDescent="0.35">
      <c r="A256" s="1">
        <v>44267</v>
      </c>
      <c r="C256" s="2" t="s">
        <v>4</v>
      </c>
      <c r="D256" s="2">
        <f t="shared" si="22"/>
        <v>48050</v>
      </c>
      <c r="E256" s="21">
        <f t="shared" si="21"/>
        <v>63495</v>
      </c>
      <c r="J256" s="3">
        <f t="shared" si="20"/>
        <v>63495</v>
      </c>
    </row>
    <row r="257" spans="1:10" x14ac:dyDescent="0.35">
      <c r="A257" s="1">
        <v>44268</v>
      </c>
      <c r="C257" s="2" t="s">
        <v>4</v>
      </c>
      <c r="D257" s="2">
        <f t="shared" si="22"/>
        <v>47600</v>
      </c>
      <c r="E257" s="21">
        <f t="shared" si="21"/>
        <v>63495</v>
      </c>
      <c r="J257" s="3">
        <f t="shared" si="20"/>
        <v>63495</v>
      </c>
    </row>
    <row r="258" spans="1:10" x14ac:dyDescent="0.35">
      <c r="A258" s="1">
        <v>44269</v>
      </c>
      <c r="C258" s="2" t="s">
        <v>4</v>
      </c>
      <c r="D258" s="2">
        <f t="shared" si="22"/>
        <v>47150</v>
      </c>
      <c r="E258" s="21">
        <f t="shared" si="21"/>
        <v>63495</v>
      </c>
      <c r="J258" s="3">
        <f t="shared" si="20"/>
        <v>63495</v>
      </c>
    </row>
    <row r="259" spans="1:10" x14ac:dyDescent="0.35">
      <c r="A259" s="1">
        <v>44270</v>
      </c>
      <c r="C259" s="2" t="s">
        <v>4</v>
      </c>
      <c r="D259" s="2">
        <f t="shared" si="22"/>
        <v>46700</v>
      </c>
      <c r="E259" s="21">
        <f t="shared" si="21"/>
        <v>63495</v>
      </c>
      <c r="J259" s="3">
        <f t="shared" ref="J259:J322" si="23">E259+I259</f>
        <v>63495</v>
      </c>
    </row>
    <row r="260" spans="1:10" x14ac:dyDescent="0.35">
      <c r="A260" s="1">
        <v>44271</v>
      </c>
      <c r="C260" s="2" t="s">
        <v>4</v>
      </c>
      <c r="D260" s="2">
        <f t="shared" si="22"/>
        <v>46250</v>
      </c>
      <c r="E260" s="21">
        <f t="shared" si="21"/>
        <v>63495</v>
      </c>
      <c r="J260" s="3">
        <f t="shared" si="23"/>
        <v>63495</v>
      </c>
    </row>
    <row r="261" spans="1:10" x14ac:dyDescent="0.35">
      <c r="A261" s="1">
        <v>44272</v>
      </c>
      <c r="C261" s="2" t="s">
        <v>4</v>
      </c>
      <c r="D261" s="2">
        <f t="shared" si="22"/>
        <v>45800</v>
      </c>
      <c r="E261" s="21">
        <f t="shared" si="21"/>
        <v>63495</v>
      </c>
      <c r="J261" s="3">
        <f t="shared" si="23"/>
        <v>63495</v>
      </c>
    </row>
    <row r="262" spans="1:10" x14ac:dyDescent="0.35">
      <c r="A262" s="1">
        <v>44273</v>
      </c>
      <c r="C262" s="2" t="s">
        <v>4</v>
      </c>
      <c r="D262" s="2">
        <f t="shared" si="22"/>
        <v>45350</v>
      </c>
      <c r="E262" s="21">
        <f t="shared" si="21"/>
        <v>63495</v>
      </c>
      <c r="J262" s="3">
        <f t="shared" si="23"/>
        <v>63495</v>
      </c>
    </row>
    <row r="263" spans="1:10" x14ac:dyDescent="0.35">
      <c r="A263" s="1">
        <v>44274</v>
      </c>
      <c r="C263" s="2" t="s">
        <v>4</v>
      </c>
      <c r="D263" s="2">
        <f t="shared" si="22"/>
        <v>44900</v>
      </c>
      <c r="E263" s="21">
        <f t="shared" si="21"/>
        <v>63495</v>
      </c>
      <c r="J263" s="3">
        <f t="shared" si="23"/>
        <v>63495</v>
      </c>
    </row>
    <row r="264" spans="1:10" x14ac:dyDescent="0.35">
      <c r="A264" s="1">
        <v>44275</v>
      </c>
      <c r="C264" s="2" t="s">
        <v>4</v>
      </c>
      <c r="D264" s="2">
        <f t="shared" si="22"/>
        <v>44450</v>
      </c>
      <c r="E264" s="21">
        <f t="shared" si="21"/>
        <v>63495</v>
      </c>
      <c r="J264" s="3">
        <f t="shared" si="23"/>
        <v>63495</v>
      </c>
    </row>
    <row r="265" spans="1:10" x14ac:dyDescent="0.35">
      <c r="A265" s="1">
        <v>44276</v>
      </c>
      <c r="C265" s="2" t="s">
        <v>4</v>
      </c>
      <c r="D265" s="2">
        <f t="shared" si="22"/>
        <v>44000</v>
      </c>
      <c r="E265" s="21">
        <f t="shared" si="21"/>
        <v>63495</v>
      </c>
      <c r="J265" s="3">
        <f t="shared" si="23"/>
        <v>63495</v>
      </c>
    </row>
    <row r="266" spans="1:10" x14ac:dyDescent="0.35">
      <c r="A266" s="1">
        <v>44277</v>
      </c>
      <c r="C266" s="2" t="s">
        <v>4</v>
      </c>
      <c r="D266" s="2">
        <f t="shared" si="22"/>
        <v>43550</v>
      </c>
      <c r="E266" s="21">
        <f t="shared" si="21"/>
        <v>63495</v>
      </c>
      <c r="J266" s="3">
        <f t="shared" si="23"/>
        <v>63495</v>
      </c>
    </row>
    <row r="267" spans="1:10" x14ac:dyDescent="0.35">
      <c r="A267" s="1">
        <v>44278</v>
      </c>
      <c r="C267" s="2" t="s">
        <v>4</v>
      </c>
      <c r="D267" s="2">
        <f t="shared" si="22"/>
        <v>43100</v>
      </c>
      <c r="E267" s="21">
        <f t="shared" si="21"/>
        <v>63495</v>
      </c>
      <c r="J267" s="3">
        <f t="shared" si="23"/>
        <v>63495</v>
      </c>
    </row>
    <row r="268" spans="1:10" x14ac:dyDescent="0.35">
      <c r="A268" s="1">
        <v>44279</v>
      </c>
      <c r="C268" s="2" t="s">
        <v>4</v>
      </c>
      <c r="D268" s="2">
        <f t="shared" si="22"/>
        <v>42650</v>
      </c>
      <c r="E268" s="21">
        <f t="shared" si="21"/>
        <v>63495</v>
      </c>
      <c r="J268" s="3">
        <f t="shared" si="23"/>
        <v>63495</v>
      </c>
    </row>
    <row r="269" spans="1:10" x14ac:dyDescent="0.35">
      <c r="A269" s="1">
        <v>44280</v>
      </c>
      <c r="C269" s="2" t="s">
        <v>4</v>
      </c>
      <c r="D269" s="2">
        <f t="shared" si="22"/>
        <v>42200</v>
      </c>
      <c r="E269" s="21">
        <f t="shared" si="21"/>
        <v>63495</v>
      </c>
      <c r="J269" s="3">
        <f t="shared" si="23"/>
        <v>63495</v>
      </c>
    </row>
    <row r="270" spans="1:10" x14ac:dyDescent="0.35">
      <c r="A270" s="1">
        <v>44281</v>
      </c>
      <c r="C270" s="2" t="s">
        <v>4</v>
      </c>
      <c r="D270" s="2">
        <f t="shared" si="22"/>
        <v>41750</v>
      </c>
      <c r="E270" s="21">
        <f t="shared" si="21"/>
        <v>63495</v>
      </c>
      <c r="J270" s="3">
        <f t="shared" si="23"/>
        <v>63495</v>
      </c>
    </row>
    <row r="271" spans="1:10" x14ac:dyDescent="0.35">
      <c r="A271" s="1">
        <v>44282</v>
      </c>
      <c r="C271" s="2" t="s">
        <v>4</v>
      </c>
      <c r="D271" s="2">
        <f t="shared" si="22"/>
        <v>41300</v>
      </c>
      <c r="E271" s="21">
        <f t="shared" si="21"/>
        <v>63495</v>
      </c>
      <c r="J271" s="3">
        <f t="shared" si="23"/>
        <v>63495</v>
      </c>
    </row>
    <row r="272" spans="1:10" x14ac:dyDescent="0.35">
      <c r="A272" s="1">
        <v>44283</v>
      </c>
      <c r="C272" s="2" t="s">
        <v>4</v>
      </c>
      <c r="D272" s="2">
        <f t="shared" si="22"/>
        <v>40850</v>
      </c>
      <c r="E272" s="21">
        <f t="shared" si="21"/>
        <v>63495</v>
      </c>
      <c r="J272" s="3">
        <f t="shared" si="23"/>
        <v>63495</v>
      </c>
    </row>
    <row r="273" spans="1:10" x14ac:dyDescent="0.35">
      <c r="A273" s="1">
        <v>44284</v>
      </c>
      <c r="C273" s="2" t="s">
        <v>4</v>
      </c>
      <c r="D273" s="2">
        <f t="shared" si="22"/>
        <v>40400</v>
      </c>
      <c r="E273" s="21">
        <f t="shared" si="21"/>
        <v>63495</v>
      </c>
      <c r="J273" s="3">
        <f t="shared" si="23"/>
        <v>63495</v>
      </c>
    </row>
    <row r="274" spans="1:10" x14ac:dyDescent="0.35">
      <c r="A274" s="1">
        <v>44285</v>
      </c>
      <c r="C274" s="2" t="s">
        <v>4</v>
      </c>
      <c r="D274" s="2">
        <f t="shared" si="22"/>
        <v>39950</v>
      </c>
      <c r="E274" s="21">
        <f t="shared" si="21"/>
        <v>63495</v>
      </c>
      <c r="J274" s="3">
        <f t="shared" si="23"/>
        <v>63495</v>
      </c>
    </row>
    <row r="275" spans="1:10" x14ac:dyDescent="0.35">
      <c r="A275" s="1">
        <v>44286</v>
      </c>
      <c r="C275" s="2" t="s">
        <v>4</v>
      </c>
      <c r="D275" s="2">
        <f t="shared" si="22"/>
        <v>39500</v>
      </c>
      <c r="E275" s="21">
        <f t="shared" si="21"/>
        <v>63495</v>
      </c>
      <c r="J275" s="3">
        <f t="shared" si="23"/>
        <v>63495</v>
      </c>
    </row>
    <row r="276" spans="1:10" x14ac:dyDescent="0.35">
      <c r="A276" s="1">
        <v>44287</v>
      </c>
      <c r="B276" s="2">
        <v>200000</v>
      </c>
      <c r="C276" s="2" t="s">
        <v>4</v>
      </c>
      <c r="D276" s="2">
        <f t="shared" si="22"/>
        <v>39050</v>
      </c>
      <c r="E276" s="21">
        <f>(D275-D276)*$L$20-N4</f>
        <v>63295</v>
      </c>
      <c r="J276" s="3">
        <f t="shared" si="23"/>
        <v>63295</v>
      </c>
    </row>
    <row r="277" spans="1:10" x14ac:dyDescent="0.35">
      <c r="A277" s="1">
        <v>44288</v>
      </c>
      <c r="C277" s="2" t="s">
        <v>4</v>
      </c>
      <c r="D277" s="2">
        <f t="shared" si="22"/>
        <v>38600</v>
      </c>
      <c r="E277" s="21">
        <f t="shared" si="21"/>
        <v>63495</v>
      </c>
      <c r="J277" s="3">
        <f t="shared" si="23"/>
        <v>63495</v>
      </c>
    </row>
    <row r="278" spans="1:10" x14ac:dyDescent="0.35">
      <c r="A278" s="1">
        <v>44289</v>
      </c>
      <c r="C278" s="2" t="s">
        <v>4</v>
      </c>
      <c r="D278" s="2">
        <f t="shared" si="22"/>
        <v>38150</v>
      </c>
      <c r="E278" s="21">
        <f t="shared" si="21"/>
        <v>63495</v>
      </c>
      <c r="J278" s="3">
        <f t="shared" si="23"/>
        <v>63495</v>
      </c>
    </row>
    <row r="279" spans="1:10" x14ac:dyDescent="0.35">
      <c r="A279" s="1">
        <v>44290</v>
      </c>
      <c r="C279" s="2" t="s">
        <v>4</v>
      </c>
      <c r="D279" s="2">
        <f t="shared" si="22"/>
        <v>37700</v>
      </c>
      <c r="E279" s="21">
        <f t="shared" si="21"/>
        <v>63495</v>
      </c>
      <c r="J279" s="3">
        <f t="shared" si="23"/>
        <v>63495</v>
      </c>
    </row>
    <row r="280" spans="1:10" x14ac:dyDescent="0.35">
      <c r="A280" s="1">
        <v>44291</v>
      </c>
      <c r="C280" s="2" t="s">
        <v>4</v>
      </c>
      <c r="D280" s="2">
        <f t="shared" si="22"/>
        <v>37250</v>
      </c>
      <c r="E280" s="21">
        <f t="shared" si="21"/>
        <v>63495</v>
      </c>
      <c r="J280" s="3">
        <f t="shared" si="23"/>
        <v>63495</v>
      </c>
    </row>
    <row r="281" spans="1:10" x14ac:dyDescent="0.35">
      <c r="A281" s="1">
        <v>44292</v>
      </c>
      <c r="C281" s="2" t="s">
        <v>4</v>
      </c>
      <c r="D281" s="2">
        <f t="shared" si="22"/>
        <v>36800</v>
      </c>
      <c r="E281" s="21">
        <f t="shared" si="21"/>
        <v>63495</v>
      </c>
      <c r="J281" s="3">
        <f t="shared" si="23"/>
        <v>63495</v>
      </c>
    </row>
    <row r="282" spans="1:10" x14ac:dyDescent="0.35">
      <c r="A282" s="1">
        <v>44293</v>
      </c>
      <c r="C282" s="2" t="s">
        <v>4</v>
      </c>
      <c r="D282" s="2">
        <f t="shared" si="22"/>
        <v>36350</v>
      </c>
      <c r="E282" s="21">
        <f t="shared" si="21"/>
        <v>63495</v>
      </c>
      <c r="J282" s="3">
        <f t="shared" si="23"/>
        <v>63495</v>
      </c>
    </row>
    <row r="283" spans="1:10" x14ac:dyDescent="0.35">
      <c r="A283" s="1">
        <v>44294</v>
      </c>
      <c r="C283" s="2" t="s">
        <v>4</v>
      </c>
      <c r="D283" s="2">
        <f t="shared" si="22"/>
        <v>35900</v>
      </c>
      <c r="E283" s="21">
        <f t="shared" ref="E283:E346" si="24">(D282-D283)*$L$20</f>
        <v>63495</v>
      </c>
      <c r="J283" s="3">
        <f t="shared" si="23"/>
        <v>63495</v>
      </c>
    </row>
    <row r="284" spans="1:10" x14ac:dyDescent="0.35">
      <c r="A284" s="1">
        <v>44295</v>
      </c>
      <c r="C284" s="2" t="s">
        <v>4</v>
      </c>
      <c r="D284" s="2">
        <f t="shared" si="22"/>
        <v>35450</v>
      </c>
      <c r="E284" s="21">
        <f t="shared" si="24"/>
        <v>63495</v>
      </c>
      <c r="J284" s="3">
        <f t="shared" si="23"/>
        <v>63495</v>
      </c>
    </row>
    <row r="285" spans="1:10" x14ac:dyDescent="0.35">
      <c r="A285" s="1">
        <v>44296</v>
      </c>
      <c r="C285" s="2" t="s">
        <v>4</v>
      </c>
      <c r="D285" s="2">
        <f t="shared" si="22"/>
        <v>35000</v>
      </c>
      <c r="E285" s="21">
        <f t="shared" si="24"/>
        <v>63495</v>
      </c>
      <c r="J285" s="3">
        <f t="shared" si="23"/>
        <v>63495</v>
      </c>
    </row>
    <row r="286" spans="1:10" x14ac:dyDescent="0.35">
      <c r="A286" s="1">
        <v>44297</v>
      </c>
      <c r="C286" s="2" t="s">
        <v>4</v>
      </c>
      <c r="D286" s="2">
        <f t="shared" si="22"/>
        <v>34550</v>
      </c>
      <c r="E286" s="21">
        <f t="shared" si="24"/>
        <v>63495</v>
      </c>
      <c r="J286" s="3">
        <f t="shared" si="23"/>
        <v>63495</v>
      </c>
    </row>
    <row r="287" spans="1:10" x14ac:dyDescent="0.35">
      <c r="A287" s="1">
        <v>44298</v>
      </c>
      <c r="C287" s="2" t="s">
        <v>4</v>
      </c>
      <c r="D287" s="2">
        <f t="shared" si="22"/>
        <v>34100</v>
      </c>
      <c r="E287" s="21">
        <f t="shared" si="24"/>
        <v>63495</v>
      </c>
      <c r="J287" s="3">
        <f t="shared" si="23"/>
        <v>63495</v>
      </c>
    </row>
    <row r="288" spans="1:10" x14ac:dyDescent="0.35">
      <c r="A288" s="1">
        <v>44299</v>
      </c>
      <c r="C288" s="2" t="s">
        <v>4</v>
      </c>
      <c r="D288" s="2">
        <f t="shared" si="22"/>
        <v>33650</v>
      </c>
      <c r="E288" s="21">
        <f t="shared" si="24"/>
        <v>63495</v>
      </c>
      <c r="J288" s="3">
        <f t="shared" si="23"/>
        <v>63495</v>
      </c>
    </row>
    <row r="289" spans="1:10" x14ac:dyDescent="0.35">
      <c r="A289" s="1">
        <v>44300</v>
      </c>
      <c r="C289" s="2" t="s">
        <v>4</v>
      </c>
      <c r="D289" s="2">
        <f t="shared" si="22"/>
        <v>33200</v>
      </c>
      <c r="E289" s="21">
        <f t="shared" si="24"/>
        <v>63495</v>
      </c>
      <c r="J289" s="3">
        <f t="shared" si="23"/>
        <v>63495</v>
      </c>
    </row>
    <row r="290" spans="1:10" x14ac:dyDescent="0.35">
      <c r="A290" s="1">
        <v>44301</v>
      </c>
      <c r="C290" s="2" t="s">
        <v>4</v>
      </c>
      <c r="D290" s="2">
        <f t="shared" si="22"/>
        <v>32750</v>
      </c>
      <c r="E290" s="21">
        <f t="shared" si="24"/>
        <v>63495</v>
      </c>
      <c r="J290" s="3">
        <f t="shared" si="23"/>
        <v>63495</v>
      </c>
    </row>
    <row r="291" spans="1:10" x14ac:dyDescent="0.35">
      <c r="A291" s="1">
        <v>44302</v>
      </c>
      <c r="C291" s="2" t="s">
        <v>4</v>
      </c>
      <c r="D291" s="2">
        <f t="shared" si="22"/>
        <v>32300</v>
      </c>
      <c r="E291" s="21">
        <f t="shared" si="24"/>
        <v>63495</v>
      </c>
      <c r="J291" s="3">
        <f t="shared" si="23"/>
        <v>63495</v>
      </c>
    </row>
    <row r="292" spans="1:10" x14ac:dyDescent="0.35">
      <c r="A292" s="1">
        <v>44303</v>
      </c>
      <c r="C292" s="2" t="s">
        <v>4</v>
      </c>
      <c r="D292" s="2">
        <f t="shared" si="22"/>
        <v>31850</v>
      </c>
      <c r="E292" s="21">
        <f t="shared" si="24"/>
        <v>63495</v>
      </c>
      <c r="J292" s="3">
        <f t="shared" si="23"/>
        <v>63495</v>
      </c>
    </row>
    <row r="293" spans="1:10" x14ac:dyDescent="0.35">
      <c r="A293" s="1">
        <v>44304</v>
      </c>
      <c r="C293" s="2" t="s">
        <v>4</v>
      </c>
      <c r="D293" s="2">
        <f t="shared" si="22"/>
        <v>31400</v>
      </c>
      <c r="E293" s="21">
        <f t="shared" si="24"/>
        <v>63495</v>
      </c>
      <c r="J293" s="3">
        <f t="shared" si="23"/>
        <v>63495</v>
      </c>
    </row>
    <row r="294" spans="1:10" x14ac:dyDescent="0.35">
      <c r="A294" s="1">
        <v>44305</v>
      </c>
      <c r="C294" s="2" t="s">
        <v>4</v>
      </c>
      <c r="D294" s="2">
        <f t="shared" si="22"/>
        <v>30950</v>
      </c>
      <c r="E294" s="21">
        <f t="shared" si="24"/>
        <v>63495</v>
      </c>
      <c r="J294" s="3">
        <f t="shared" si="23"/>
        <v>63495</v>
      </c>
    </row>
    <row r="295" spans="1:10" x14ac:dyDescent="0.35">
      <c r="A295" s="1">
        <v>44306</v>
      </c>
      <c r="C295" s="2" t="s">
        <v>4</v>
      </c>
      <c r="D295" s="2">
        <f t="shared" si="22"/>
        <v>30500</v>
      </c>
      <c r="E295" s="21">
        <f t="shared" si="24"/>
        <v>63495</v>
      </c>
      <c r="J295" s="3">
        <f t="shared" si="23"/>
        <v>63495</v>
      </c>
    </row>
    <row r="296" spans="1:10" x14ac:dyDescent="0.35">
      <c r="A296" s="1">
        <v>44307</v>
      </c>
      <c r="C296" s="2" t="s">
        <v>4</v>
      </c>
      <c r="D296" s="2">
        <f t="shared" si="22"/>
        <v>30050</v>
      </c>
      <c r="E296" s="21">
        <f t="shared" si="24"/>
        <v>63495</v>
      </c>
      <c r="J296" s="3">
        <f t="shared" si="23"/>
        <v>63495</v>
      </c>
    </row>
    <row r="297" spans="1:10" x14ac:dyDescent="0.35">
      <c r="A297" s="1">
        <v>44308</v>
      </c>
      <c r="C297" s="2" t="s">
        <v>4</v>
      </c>
      <c r="D297" s="2">
        <f t="shared" si="22"/>
        <v>29600</v>
      </c>
      <c r="E297" s="21">
        <f t="shared" si="24"/>
        <v>63495</v>
      </c>
      <c r="J297" s="3">
        <f t="shared" si="23"/>
        <v>63495</v>
      </c>
    </row>
    <row r="298" spans="1:10" x14ac:dyDescent="0.35">
      <c r="A298" s="1">
        <v>44309</v>
      </c>
      <c r="C298" s="2" t="s">
        <v>4</v>
      </c>
      <c r="D298" s="2">
        <f t="shared" si="22"/>
        <v>29150</v>
      </c>
      <c r="E298" s="21">
        <f t="shared" si="24"/>
        <v>63495</v>
      </c>
      <c r="J298" s="3">
        <f t="shared" si="23"/>
        <v>63495</v>
      </c>
    </row>
    <row r="299" spans="1:10" x14ac:dyDescent="0.35">
      <c r="A299" s="1">
        <v>44310</v>
      </c>
      <c r="C299" s="2" t="s">
        <v>4</v>
      </c>
      <c r="D299" s="2">
        <f t="shared" si="22"/>
        <v>28700</v>
      </c>
      <c r="E299" s="21">
        <f t="shared" si="24"/>
        <v>63495</v>
      </c>
      <c r="J299" s="3">
        <f t="shared" si="23"/>
        <v>63495</v>
      </c>
    </row>
    <row r="300" spans="1:10" x14ac:dyDescent="0.35">
      <c r="A300" s="1">
        <v>44311</v>
      </c>
      <c r="C300" s="2" t="s">
        <v>4</v>
      </c>
      <c r="D300" s="2">
        <f t="shared" si="22"/>
        <v>28250</v>
      </c>
      <c r="E300" s="21">
        <f t="shared" si="24"/>
        <v>63495</v>
      </c>
      <c r="J300" s="3">
        <f t="shared" si="23"/>
        <v>63495</v>
      </c>
    </row>
    <row r="301" spans="1:10" x14ac:dyDescent="0.35">
      <c r="A301" s="1">
        <v>44312</v>
      </c>
      <c r="C301" s="2" t="s">
        <v>4</v>
      </c>
      <c r="D301" s="2">
        <f t="shared" si="22"/>
        <v>27800</v>
      </c>
      <c r="E301" s="21">
        <f t="shared" si="24"/>
        <v>63495</v>
      </c>
      <c r="J301" s="3">
        <f t="shared" si="23"/>
        <v>63495</v>
      </c>
    </row>
    <row r="302" spans="1:10" x14ac:dyDescent="0.35">
      <c r="A302" s="1">
        <v>44313</v>
      </c>
      <c r="C302" s="2" t="s">
        <v>4</v>
      </c>
      <c r="D302" s="2">
        <f t="shared" si="22"/>
        <v>27350</v>
      </c>
      <c r="E302" s="21">
        <f t="shared" si="24"/>
        <v>63495</v>
      </c>
      <c r="J302" s="3">
        <f t="shared" si="23"/>
        <v>63495</v>
      </c>
    </row>
    <row r="303" spans="1:10" x14ac:dyDescent="0.35">
      <c r="A303" s="1">
        <v>44314</v>
      </c>
      <c r="C303" s="2" t="s">
        <v>4</v>
      </c>
      <c r="D303" s="2">
        <f t="shared" si="22"/>
        <v>26900</v>
      </c>
      <c r="E303" s="21">
        <f t="shared" si="24"/>
        <v>63495</v>
      </c>
      <c r="J303" s="3">
        <f t="shared" si="23"/>
        <v>63495</v>
      </c>
    </row>
    <row r="304" spans="1:10" x14ac:dyDescent="0.35">
      <c r="A304" s="1">
        <v>44315</v>
      </c>
      <c r="C304" s="2" t="s">
        <v>4</v>
      </c>
      <c r="D304" s="2">
        <f t="shared" si="22"/>
        <v>26450</v>
      </c>
      <c r="E304" s="21">
        <f t="shared" si="24"/>
        <v>63495</v>
      </c>
      <c r="J304" s="3">
        <f t="shared" si="23"/>
        <v>63495</v>
      </c>
    </row>
    <row r="305" spans="1:10" x14ac:dyDescent="0.35">
      <c r="A305" s="1">
        <v>44316</v>
      </c>
      <c r="C305" s="2" t="s">
        <v>4</v>
      </c>
      <c r="D305" s="2">
        <f t="shared" si="22"/>
        <v>26000</v>
      </c>
      <c r="E305" s="21">
        <f t="shared" si="24"/>
        <v>63495</v>
      </c>
      <c r="J305" s="3">
        <f t="shared" si="23"/>
        <v>63495</v>
      </c>
    </row>
    <row r="306" spans="1:10" x14ac:dyDescent="0.35">
      <c r="A306" s="1">
        <v>44317</v>
      </c>
      <c r="B306" s="2">
        <v>200000</v>
      </c>
      <c r="C306" s="2" t="s">
        <v>4</v>
      </c>
      <c r="D306" s="2">
        <f t="shared" si="22"/>
        <v>25550</v>
      </c>
      <c r="E306" s="21">
        <f>(D305-D306)*$L$20-N4</f>
        <v>63295</v>
      </c>
      <c r="J306" s="3">
        <f t="shared" si="23"/>
        <v>63295</v>
      </c>
    </row>
    <row r="307" spans="1:10" x14ac:dyDescent="0.35">
      <c r="A307" s="1">
        <v>44318</v>
      </c>
      <c r="C307" s="2" t="s">
        <v>4</v>
      </c>
      <c r="D307" s="2">
        <f t="shared" si="22"/>
        <v>25100</v>
      </c>
      <c r="E307" s="21">
        <f t="shared" si="24"/>
        <v>63495</v>
      </c>
      <c r="J307" s="3">
        <f t="shared" si="23"/>
        <v>63495</v>
      </c>
    </row>
    <row r="308" spans="1:10" x14ac:dyDescent="0.35">
      <c r="A308" s="1">
        <v>44319</v>
      </c>
      <c r="C308" s="2" t="s">
        <v>4</v>
      </c>
      <c r="D308" s="2">
        <f t="shared" si="22"/>
        <v>24650</v>
      </c>
      <c r="E308" s="21">
        <f t="shared" si="24"/>
        <v>63495</v>
      </c>
      <c r="J308" s="3">
        <f t="shared" si="23"/>
        <v>63495</v>
      </c>
    </row>
    <row r="309" spans="1:10" x14ac:dyDescent="0.35">
      <c r="A309" s="1">
        <v>44320</v>
      </c>
      <c r="C309" s="2" t="s">
        <v>4</v>
      </c>
      <c r="D309" s="2">
        <f t="shared" si="22"/>
        <v>24200</v>
      </c>
      <c r="E309" s="21">
        <f t="shared" si="24"/>
        <v>63495</v>
      </c>
      <c r="J309" s="3">
        <f t="shared" si="23"/>
        <v>63495</v>
      </c>
    </row>
    <row r="310" spans="1:10" x14ac:dyDescent="0.35">
      <c r="A310" s="1">
        <v>44321</v>
      </c>
      <c r="C310" s="2" t="s">
        <v>4</v>
      </c>
      <c r="D310" s="2">
        <f t="shared" si="22"/>
        <v>23750</v>
      </c>
      <c r="E310" s="21">
        <f t="shared" si="24"/>
        <v>63495</v>
      </c>
      <c r="J310" s="3">
        <f t="shared" si="23"/>
        <v>63495</v>
      </c>
    </row>
    <row r="311" spans="1:10" x14ac:dyDescent="0.35">
      <c r="A311" s="1">
        <v>44322</v>
      </c>
      <c r="C311" s="2" t="s">
        <v>4</v>
      </c>
      <c r="D311" s="2">
        <f t="shared" si="22"/>
        <v>23300</v>
      </c>
      <c r="E311" s="21">
        <f t="shared" si="24"/>
        <v>63495</v>
      </c>
      <c r="J311" s="3">
        <f t="shared" si="23"/>
        <v>63495</v>
      </c>
    </row>
    <row r="312" spans="1:10" x14ac:dyDescent="0.35">
      <c r="A312" s="1">
        <v>44323</v>
      </c>
      <c r="C312" s="2" t="s">
        <v>4</v>
      </c>
      <c r="D312" s="2">
        <f t="shared" si="22"/>
        <v>22850</v>
      </c>
      <c r="E312" s="21">
        <f t="shared" si="24"/>
        <v>63495</v>
      </c>
      <c r="J312" s="3">
        <f t="shared" si="23"/>
        <v>63495</v>
      </c>
    </row>
    <row r="313" spans="1:10" x14ac:dyDescent="0.35">
      <c r="A313" s="1">
        <v>44324</v>
      </c>
      <c r="C313" s="2" t="s">
        <v>4</v>
      </c>
      <c r="D313" s="2">
        <f t="shared" si="22"/>
        <v>22400</v>
      </c>
      <c r="E313" s="21">
        <f t="shared" si="24"/>
        <v>63495</v>
      </c>
      <c r="J313" s="3">
        <f t="shared" si="23"/>
        <v>63495</v>
      </c>
    </row>
    <row r="314" spans="1:10" x14ac:dyDescent="0.35">
      <c r="A314" s="1">
        <v>44325</v>
      </c>
      <c r="C314" s="2" t="s">
        <v>4</v>
      </c>
      <c r="D314" s="2">
        <f t="shared" si="22"/>
        <v>21950</v>
      </c>
      <c r="E314" s="21">
        <f t="shared" si="24"/>
        <v>63495</v>
      </c>
      <c r="J314" s="3">
        <f t="shared" si="23"/>
        <v>63495</v>
      </c>
    </row>
    <row r="315" spans="1:10" x14ac:dyDescent="0.35">
      <c r="A315" s="1">
        <v>44326</v>
      </c>
      <c r="C315" s="2" t="s">
        <v>4</v>
      </c>
      <c r="D315" s="2">
        <f t="shared" ref="D315:D367" si="25">MAX(D314-$N$6,0)</f>
        <v>21500</v>
      </c>
      <c r="E315" s="21">
        <f t="shared" si="24"/>
        <v>63495</v>
      </c>
      <c r="J315" s="3">
        <f t="shared" si="23"/>
        <v>63495</v>
      </c>
    </row>
    <row r="316" spans="1:10" x14ac:dyDescent="0.35">
      <c r="A316" s="1">
        <v>44327</v>
      </c>
      <c r="C316" s="2" t="s">
        <v>4</v>
      </c>
      <c r="D316" s="2">
        <f t="shared" si="25"/>
        <v>21050</v>
      </c>
      <c r="E316" s="21">
        <f t="shared" si="24"/>
        <v>63495</v>
      </c>
      <c r="J316" s="3">
        <f t="shared" si="23"/>
        <v>63495</v>
      </c>
    </row>
    <row r="317" spans="1:10" x14ac:dyDescent="0.35">
      <c r="A317" s="1">
        <v>44328</v>
      </c>
      <c r="C317" s="2" t="s">
        <v>4</v>
      </c>
      <c r="D317" s="2">
        <f t="shared" si="25"/>
        <v>20600</v>
      </c>
      <c r="E317" s="21">
        <f t="shared" si="24"/>
        <v>63495</v>
      </c>
      <c r="J317" s="3">
        <f t="shared" si="23"/>
        <v>63495</v>
      </c>
    </row>
    <row r="318" spans="1:10" x14ac:dyDescent="0.35">
      <c r="A318" s="1">
        <v>44329</v>
      </c>
      <c r="C318" s="2" t="s">
        <v>4</v>
      </c>
      <c r="D318" s="2">
        <f t="shared" si="25"/>
        <v>20150</v>
      </c>
      <c r="E318" s="21">
        <f t="shared" si="24"/>
        <v>63495</v>
      </c>
      <c r="J318" s="3">
        <f t="shared" si="23"/>
        <v>63495</v>
      </c>
    </row>
    <row r="319" spans="1:10" x14ac:dyDescent="0.35">
      <c r="A319" s="1">
        <v>44330</v>
      </c>
      <c r="C319" s="2" t="s">
        <v>4</v>
      </c>
      <c r="D319" s="2">
        <f t="shared" si="25"/>
        <v>19700</v>
      </c>
      <c r="E319" s="21">
        <f t="shared" si="24"/>
        <v>63495</v>
      </c>
      <c r="J319" s="3">
        <f t="shared" si="23"/>
        <v>63495</v>
      </c>
    </row>
    <row r="320" spans="1:10" x14ac:dyDescent="0.35">
      <c r="A320" s="1">
        <v>44331</v>
      </c>
      <c r="C320" s="2" t="s">
        <v>4</v>
      </c>
      <c r="D320" s="2">
        <f t="shared" si="25"/>
        <v>19250</v>
      </c>
      <c r="E320" s="21">
        <f t="shared" si="24"/>
        <v>63495</v>
      </c>
      <c r="J320" s="3">
        <f t="shared" si="23"/>
        <v>63495</v>
      </c>
    </row>
    <row r="321" spans="1:10" x14ac:dyDescent="0.35">
      <c r="A321" s="1">
        <v>44332</v>
      </c>
      <c r="C321" s="2" t="s">
        <v>4</v>
      </c>
      <c r="D321" s="2">
        <f t="shared" si="25"/>
        <v>18800</v>
      </c>
      <c r="E321" s="21">
        <f t="shared" si="24"/>
        <v>63495</v>
      </c>
      <c r="J321" s="3">
        <f t="shared" si="23"/>
        <v>63495</v>
      </c>
    </row>
    <row r="322" spans="1:10" x14ac:dyDescent="0.35">
      <c r="A322" s="1">
        <v>44333</v>
      </c>
      <c r="C322" s="2" t="s">
        <v>4</v>
      </c>
      <c r="D322" s="2">
        <f t="shared" si="25"/>
        <v>18350</v>
      </c>
      <c r="E322" s="21">
        <f t="shared" si="24"/>
        <v>63495</v>
      </c>
      <c r="J322" s="3">
        <f t="shared" si="23"/>
        <v>63495</v>
      </c>
    </row>
    <row r="323" spans="1:10" x14ac:dyDescent="0.35">
      <c r="A323" s="1">
        <v>44334</v>
      </c>
      <c r="C323" s="2" t="s">
        <v>4</v>
      </c>
      <c r="D323" s="2">
        <f t="shared" si="25"/>
        <v>17900</v>
      </c>
      <c r="E323" s="21">
        <f t="shared" si="24"/>
        <v>63495</v>
      </c>
      <c r="J323" s="3">
        <f t="shared" ref="J323:J367" si="26">E323+I323</f>
        <v>63495</v>
      </c>
    </row>
    <row r="324" spans="1:10" x14ac:dyDescent="0.35">
      <c r="A324" s="1">
        <v>44335</v>
      </c>
      <c r="C324" s="2" t="s">
        <v>4</v>
      </c>
      <c r="D324" s="2">
        <f t="shared" si="25"/>
        <v>17450</v>
      </c>
      <c r="E324" s="21">
        <f t="shared" si="24"/>
        <v>63495</v>
      </c>
      <c r="J324" s="3">
        <f t="shared" si="26"/>
        <v>63495</v>
      </c>
    </row>
    <row r="325" spans="1:10" x14ac:dyDescent="0.35">
      <c r="A325" s="1">
        <v>44336</v>
      </c>
      <c r="C325" s="2" t="s">
        <v>4</v>
      </c>
      <c r="D325" s="2">
        <f t="shared" si="25"/>
        <v>17000</v>
      </c>
      <c r="E325" s="21">
        <f t="shared" si="24"/>
        <v>63495</v>
      </c>
      <c r="J325" s="3">
        <f t="shared" si="26"/>
        <v>63495</v>
      </c>
    </row>
    <row r="326" spans="1:10" x14ac:dyDescent="0.35">
      <c r="A326" s="1">
        <v>44337</v>
      </c>
      <c r="C326" s="2" t="s">
        <v>4</v>
      </c>
      <c r="D326" s="2">
        <f t="shared" si="25"/>
        <v>16550</v>
      </c>
      <c r="E326" s="21">
        <f t="shared" si="24"/>
        <v>63495</v>
      </c>
      <c r="J326" s="3">
        <f t="shared" si="26"/>
        <v>63495</v>
      </c>
    </row>
    <row r="327" spans="1:10" x14ac:dyDescent="0.35">
      <c r="A327" s="1">
        <v>44338</v>
      </c>
      <c r="C327" s="2" t="s">
        <v>4</v>
      </c>
      <c r="D327" s="2">
        <f t="shared" si="25"/>
        <v>16100</v>
      </c>
      <c r="E327" s="21">
        <f t="shared" si="24"/>
        <v>63495</v>
      </c>
      <c r="J327" s="3">
        <f t="shared" si="26"/>
        <v>63495</v>
      </c>
    </row>
    <row r="328" spans="1:10" x14ac:dyDescent="0.35">
      <c r="A328" s="1">
        <v>44339</v>
      </c>
      <c r="C328" s="2" t="s">
        <v>4</v>
      </c>
      <c r="D328" s="2">
        <f t="shared" si="25"/>
        <v>15650</v>
      </c>
      <c r="E328" s="21">
        <f t="shared" si="24"/>
        <v>63495</v>
      </c>
      <c r="J328" s="3">
        <f t="shared" si="26"/>
        <v>63495</v>
      </c>
    </row>
    <row r="329" spans="1:10" x14ac:dyDescent="0.35">
      <c r="A329" s="1">
        <v>44340</v>
      </c>
      <c r="C329" s="2" t="s">
        <v>4</v>
      </c>
      <c r="D329" s="2">
        <f t="shared" si="25"/>
        <v>15200</v>
      </c>
      <c r="E329" s="21">
        <f t="shared" si="24"/>
        <v>63495</v>
      </c>
      <c r="J329" s="3">
        <f t="shared" si="26"/>
        <v>63495</v>
      </c>
    </row>
    <row r="330" spans="1:10" x14ac:dyDescent="0.35">
      <c r="A330" s="1">
        <v>44341</v>
      </c>
      <c r="C330" s="2" t="s">
        <v>4</v>
      </c>
      <c r="D330" s="2">
        <f t="shared" si="25"/>
        <v>14750</v>
      </c>
      <c r="E330" s="21">
        <f t="shared" si="24"/>
        <v>63495</v>
      </c>
      <c r="J330" s="3">
        <f t="shared" si="26"/>
        <v>63495</v>
      </c>
    </row>
    <row r="331" spans="1:10" x14ac:dyDescent="0.35">
      <c r="A331" s="1">
        <v>44342</v>
      </c>
      <c r="C331" s="2" t="s">
        <v>4</v>
      </c>
      <c r="D331" s="2">
        <f t="shared" si="25"/>
        <v>14300</v>
      </c>
      <c r="E331" s="21">
        <f t="shared" si="24"/>
        <v>63495</v>
      </c>
      <c r="J331" s="3">
        <f t="shared" si="26"/>
        <v>63495</v>
      </c>
    </row>
    <row r="332" spans="1:10" x14ac:dyDescent="0.35">
      <c r="A332" s="1">
        <v>44343</v>
      </c>
      <c r="C332" s="2" t="s">
        <v>4</v>
      </c>
      <c r="D332" s="2">
        <f t="shared" si="25"/>
        <v>13850</v>
      </c>
      <c r="E332" s="21">
        <f t="shared" si="24"/>
        <v>63495</v>
      </c>
      <c r="J332" s="3">
        <f t="shared" si="26"/>
        <v>63495</v>
      </c>
    </row>
    <row r="333" spans="1:10" x14ac:dyDescent="0.35">
      <c r="A333" s="1">
        <v>44344</v>
      </c>
      <c r="C333" s="2" t="s">
        <v>4</v>
      </c>
      <c r="D333" s="2">
        <f t="shared" si="25"/>
        <v>13400</v>
      </c>
      <c r="E333" s="21">
        <f t="shared" si="24"/>
        <v>63495</v>
      </c>
      <c r="J333" s="3">
        <f t="shared" si="26"/>
        <v>63495</v>
      </c>
    </row>
    <row r="334" spans="1:10" x14ac:dyDescent="0.35">
      <c r="A334" s="1">
        <v>44345</v>
      </c>
      <c r="C334" s="2" t="s">
        <v>4</v>
      </c>
      <c r="D334" s="2">
        <f t="shared" si="25"/>
        <v>12950</v>
      </c>
      <c r="E334" s="21">
        <f t="shared" si="24"/>
        <v>63495</v>
      </c>
      <c r="J334" s="3">
        <f t="shared" si="26"/>
        <v>63495</v>
      </c>
    </row>
    <row r="335" spans="1:10" x14ac:dyDescent="0.35">
      <c r="A335" s="1">
        <v>44346</v>
      </c>
      <c r="C335" s="2" t="s">
        <v>4</v>
      </c>
      <c r="D335" s="2">
        <f t="shared" si="25"/>
        <v>12500</v>
      </c>
      <c r="E335" s="21">
        <f t="shared" si="24"/>
        <v>63495</v>
      </c>
      <c r="J335" s="3">
        <f t="shared" si="26"/>
        <v>63495</v>
      </c>
    </row>
    <row r="336" spans="1:10" x14ac:dyDescent="0.35">
      <c r="A336" s="1">
        <v>44347</v>
      </c>
      <c r="C336" s="2" t="s">
        <v>4</v>
      </c>
      <c r="D336" s="2">
        <f t="shared" si="25"/>
        <v>12050</v>
      </c>
      <c r="E336" s="21">
        <f t="shared" si="24"/>
        <v>63495</v>
      </c>
      <c r="J336" s="3">
        <f t="shared" si="26"/>
        <v>63495</v>
      </c>
    </row>
    <row r="337" spans="1:10" x14ac:dyDescent="0.35">
      <c r="A337" s="1">
        <v>44348</v>
      </c>
      <c r="B337" s="2">
        <v>200000</v>
      </c>
      <c r="C337" s="2" t="s">
        <v>4</v>
      </c>
      <c r="D337" s="2">
        <f t="shared" si="25"/>
        <v>11600</v>
      </c>
      <c r="E337" s="21">
        <f>(D336-D337)*$L$20-N4</f>
        <v>63295</v>
      </c>
      <c r="J337" s="3">
        <f t="shared" si="26"/>
        <v>63295</v>
      </c>
    </row>
    <row r="338" spans="1:10" x14ac:dyDescent="0.35">
      <c r="A338" s="1">
        <v>44349</v>
      </c>
      <c r="C338" s="2" t="s">
        <v>4</v>
      </c>
      <c r="D338" s="2">
        <f t="shared" si="25"/>
        <v>11150</v>
      </c>
      <c r="E338" s="21">
        <f t="shared" si="24"/>
        <v>63495</v>
      </c>
      <c r="J338" s="3">
        <f t="shared" si="26"/>
        <v>63495</v>
      </c>
    </row>
    <row r="339" spans="1:10" x14ac:dyDescent="0.35">
      <c r="A339" s="1">
        <v>44350</v>
      </c>
      <c r="C339" s="2" t="s">
        <v>4</v>
      </c>
      <c r="D339" s="2">
        <f t="shared" si="25"/>
        <v>10700</v>
      </c>
      <c r="E339" s="21">
        <f t="shared" si="24"/>
        <v>63495</v>
      </c>
      <c r="J339" s="3">
        <f t="shared" si="26"/>
        <v>63495</v>
      </c>
    </row>
    <row r="340" spans="1:10" x14ac:dyDescent="0.35">
      <c r="A340" s="1">
        <v>44351</v>
      </c>
      <c r="C340" s="2" t="s">
        <v>4</v>
      </c>
      <c r="D340" s="2">
        <f t="shared" si="25"/>
        <v>10250</v>
      </c>
      <c r="E340" s="21">
        <f t="shared" si="24"/>
        <v>63495</v>
      </c>
      <c r="J340" s="3">
        <f t="shared" si="26"/>
        <v>63495</v>
      </c>
    </row>
    <row r="341" spans="1:10" x14ac:dyDescent="0.35">
      <c r="A341" s="1">
        <v>44352</v>
      </c>
      <c r="C341" s="2" t="s">
        <v>4</v>
      </c>
      <c r="D341" s="2">
        <f t="shared" si="25"/>
        <v>9800</v>
      </c>
      <c r="E341" s="21">
        <f t="shared" si="24"/>
        <v>63495</v>
      </c>
      <c r="J341" s="3">
        <f t="shared" si="26"/>
        <v>63495</v>
      </c>
    </row>
    <row r="342" spans="1:10" x14ac:dyDescent="0.35">
      <c r="A342" s="1">
        <v>44353</v>
      </c>
      <c r="C342" s="2" t="s">
        <v>4</v>
      </c>
      <c r="D342" s="2">
        <f t="shared" si="25"/>
        <v>9350</v>
      </c>
      <c r="E342" s="21">
        <f t="shared" si="24"/>
        <v>63495</v>
      </c>
      <c r="J342" s="3">
        <f t="shared" si="26"/>
        <v>63495</v>
      </c>
    </row>
    <row r="343" spans="1:10" x14ac:dyDescent="0.35">
      <c r="A343" s="1">
        <v>44354</v>
      </c>
      <c r="C343" s="2" t="s">
        <v>4</v>
      </c>
      <c r="D343" s="2">
        <f t="shared" si="25"/>
        <v>8900</v>
      </c>
      <c r="E343" s="21">
        <f t="shared" si="24"/>
        <v>63495</v>
      </c>
      <c r="J343" s="3">
        <f t="shared" si="26"/>
        <v>63495</v>
      </c>
    </row>
    <row r="344" spans="1:10" x14ac:dyDescent="0.35">
      <c r="A344" s="1">
        <v>44355</v>
      </c>
      <c r="C344" s="2" t="s">
        <v>4</v>
      </c>
      <c r="D344" s="2">
        <f t="shared" si="25"/>
        <v>8450</v>
      </c>
      <c r="E344" s="21">
        <f t="shared" si="24"/>
        <v>63495</v>
      </c>
      <c r="J344" s="3">
        <f t="shared" si="26"/>
        <v>63495</v>
      </c>
    </row>
    <row r="345" spans="1:10" x14ac:dyDescent="0.35">
      <c r="A345" s="1">
        <v>44356</v>
      </c>
      <c r="C345" s="2" t="s">
        <v>4</v>
      </c>
      <c r="D345" s="2">
        <f t="shared" si="25"/>
        <v>8000</v>
      </c>
      <c r="E345" s="21">
        <f t="shared" si="24"/>
        <v>63495</v>
      </c>
      <c r="J345" s="3">
        <f t="shared" si="26"/>
        <v>63495</v>
      </c>
    </row>
    <row r="346" spans="1:10" x14ac:dyDescent="0.35">
      <c r="A346" s="1">
        <v>44357</v>
      </c>
      <c r="C346" s="2" t="s">
        <v>4</v>
      </c>
      <c r="D346" s="2">
        <f t="shared" si="25"/>
        <v>7550</v>
      </c>
      <c r="E346" s="21">
        <f t="shared" si="24"/>
        <v>63495</v>
      </c>
      <c r="J346" s="3">
        <f t="shared" si="26"/>
        <v>63495</v>
      </c>
    </row>
    <row r="347" spans="1:10" x14ac:dyDescent="0.35">
      <c r="A347" s="1">
        <v>44358</v>
      </c>
      <c r="C347" s="2" t="s">
        <v>4</v>
      </c>
      <c r="D347" s="2">
        <f t="shared" si="25"/>
        <v>7100</v>
      </c>
      <c r="E347" s="21">
        <f t="shared" ref="E347:E367" si="27">(D346-D347)*$L$20</f>
        <v>63495</v>
      </c>
      <c r="J347" s="3">
        <f t="shared" si="26"/>
        <v>63495</v>
      </c>
    </row>
    <row r="348" spans="1:10" x14ac:dyDescent="0.35">
      <c r="A348" s="1">
        <v>44359</v>
      </c>
      <c r="C348" s="2" t="s">
        <v>4</v>
      </c>
      <c r="D348" s="2">
        <f t="shared" si="25"/>
        <v>6650</v>
      </c>
      <c r="E348" s="21">
        <f t="shared" si="27"/>
        <v>63495</v>
      </c>
      <c r="J348" s="3">
        <f t="shared" si="26"/>
        <v>63495</v>
      </c>
    </row>
    <row r="349" spans="1:10" x14ac:dyDescent="0.35">
      <c r="A349" s="1">
        <v>44360</v>
      </c>
      <c r="C349" s="2" t="s">
        <v>4</v>
      </c>
      <c r="D349" s="2">
        <f t="shared" si="25"/>
        <v>6200</v>
      </c>
      <c r="E349" s="21">
        <f t="shared" si="27"/>
        <v>63495</v>
      </c>
      <c r="J349" s="3">
        <f t="shared" si="26"/>
        <v>63495</v>
      </c>
    </row>
    <row r="350" spans="1:10" x14ac:dyDescent="0.35">
      <c r="A350" s="1">
        <v>44361</v>
      </c>
      <c r="C350" s="2" t="s">
        <v>4</v>
      </c>
      <c r="D350" s="2">
        <f t="shared" si="25"/>
        <v>5750</v>
      </c>
      <c r="E350" s="21">
        <f t="shared" si="27"/>
        <v>63495</v>
      </c>
      <c r="J350" s="3">
        <f t="shared" si="26"/>
        <v>63495</v>
      </c>
    </row>
    <row r="351" spans="1:10" x14ac:dyDescent="0.35">
      <c r="A351" s="1">
        <v>44362</v>
      </c>
      <c r="C351" s="2" t="s">
        <v>4</v>
      </c>
      <c r="D351" s="2">
        <f t="shared" si="25"/>
        <v>5300</v>
      </c>
      <c r="E351" s="21">
        <f t="shared" si="27"/>
        <v>63495</v>
      </c>
      <c r="J351" s="3">
        <f t="shared" si="26"/>
        <v>63495</v>
      </c>
    </row>
    <row r="352" spans="1:10" x14ac:dyDescent="0.35">
      <c r="A352" s="1">
        <v>44363</v>
      </c>
      <c r="C352" s="2" t="s">
        <v>4</v>
      </c>
      <c r="D352" s="2">
        <f t="shared" si="25"/>
        <v>4850</v>
      </c>
      <c r="E352" s="21">
        <f t="shared" si="27"/>
        <v>63495</v>
      </c>
      <c r="J352" s="3">
        <f t="shared" si="26"/>
        <v>63495</v>
      </c>
    </row>
    <row r="353" spans="1:10" x14ac:dyDescent="0.35">
      <c r="A353" s="1">
        <v>44364</v>
      </c>
      <c r="C353" s="2" t="s">
        <v>4</v>
      </c>
      <c r="D353" s="2">
        <f t="shared" si="25"/>
        <v>4400</v>
      </c>
      <c r="E353" s="21">
        <f t="shared" si="27"/>
        <v>63495</v>
      </c>
      <c r="J353" s="3">
        <f t="shared" si="26"/>
        <v>63495</v>
      </c>
    </row>
    <row r="354" spans="1:10" x14ac:dyDescent="0.35">
      <c r="A354" s="1">
        <v>44365</v>
      </c>
      <c r="C354" s="2" t="s">
        <v>4</v>
      </c>
      <c r="D354" s="2">
        <f t="shared" si="25"/>
        <v>3950</v>
      </c>
      <c r="E354" s="21">
        <f t="shared" si="27"/>
        <v>63495</v>
      </c>
      <c r="J354" s="3">
        <f t="shared" si="26"/>
        <v>63495</v>
      </c>
    </row>
    <row r="355" spans="1:10" x14ac:dyDescent="0.35">
      <c r="A355" s="1">
        <v>44366</v>
      </c>
      <c r="C355" s="2" t="s">
        <v>4</v>
      </c>
      <c r="D355" s="2">
        <f t="shared" si="25"/>
        <v>3500</v>
      </c>
      <c r="E355" s="21">
        <f t="shared" si="27"/>
        <v>63495</v>
      </c>
      <c r="J355" s="3">
        <f t="shared" si="26"/>
        <v>63495</v>
      </c>
    </row>
    <row r="356" spans="1:10" x14ac:dyDescent="0.35">
      <c r="A356" s="1">
        <v>44367</v>
      </c>
      <c r="C356" s="2" t="s">
        <v>4</v>
      </c>
      <c r="D356" s="2">
        <f t="shared" si="25"/>
        <v>3050</v>
      </c>
      <c r="E356" s="21">
        <f t="shared" si="27"/>
        <v>63495</v>
      </c>
      <c r="J356" s="3">
        <f t="shared" si="26"/>
        <v>63495</v>
      </c>
    </row>
    <row r="357" spans="1:10" x14ac:dyDescent="0.35">
      <c r="A357" s="1">
        <v>44368</v>
      </c>
      <c r="C357" s="2" t="s">
        <v>4</v>
      </c>
      <c r="D357" s="2">
        <f t="shared" si="25"/>
        <v>2600</v>
      </c>
      <c r="E357" s="21">
        <f t="shared" si="27"/>
        <v>63495</v>
      </c>
      <c r="J357" s="3">
        <f t="shared" si="26"/>
        <v>63495</v>
      </c>
    </row>
    <row r="358" spans="1:10" x14ac:dyDescent="0.35">
      <c r="A358" s="1">
        <v>44369</v>
      </c>
      <c r="C358" s="2" t="s">
        <v>4</v>
      </c>
      <c r="D358" s="2">
        <f t="shared" si="25"/>
        <v>2150</v>
      </c>
      <c r="E358" s="21">
        <f t="shared" si="27"/>
        <v>63495</v>
      </c>
      <c r="J358" s="3">
        <f t="shared" si="26"/>
        <v>63495</v>
      </c>
    </row>
    <row r="359" spans="1:10" x14ac:dyDescent="0.35">
      <c r="A359" s="1">
        <v>44370</v>
      </c>
      <c r="C359" s="2" t="s">
        <v>4</v>
      </c>
      <c r="D359" s="2">
        <f t="shared" si="25"/>
        <v>1700</v>
      </c>
      <c r="E359" s="21">
        <f t="shared" si="27"/>
        <v>63495</v>
      </c>
      <c r="J359" s="3">
        <f t="shared" si="26"/>
        <v>63495</v>
      </c>
    </row>
    <row r="360" spans="1:10" x14ac:dyDescent="0.35">
      <c r="A360" s="1">
        <v>44371</v>
      </c>
      <c r="C360" s="2" t="s">
        <v>4</v>
      </c>
      <c r="D360" s="2">
        <f t="shared" si="25"/>
        <v>1250</v>
      </c>
      <c r="E360" s="21">
        <f t="shared" si="27"/>
        <v>63495</v>
      </c>
      <c r="J360" s="3">
        <f t="shared" si="26"/>
        <v>63495</v>
      </c>
    </row>
    <row r="361" spans="1:10" x14ac:dyDescent="0.35">
      <c r="A361" s="1">
        <v>44372</v>
      </c>
      <c r="C361" s="2" t="s">
        <v>4</v>
      </c>
      <c r="D361" s="2">
        <f t="shared" si="25"/>
        <v>800</v>
      </c>
      <c r="E361" s="21">
        <f t="shared" si="27"/>
        <v>63495</v>
      </c>
      <c r="J361" s="3">
        <f t="shared" si="26"/>
        <v>63495</v>
      </c>
    </row>
    <row r="362" spans="1:10" x14ac:dyDescent="0.35">
      <c r="A362" s="1">
        <v>44373</v>
      </c>
      <c r="C362" s="2" t="s">
        <v>4</v>
      </c>
      <c r="D362" s="2">
        <f t="shared" si="25"/>
        <v>350</v>
      </c>
      <c r="E362" s="21">
        <f t="shared" si="27"/>
        <v>63495</v>
      </c>
      <c r="J362" s="3">
        <f t="shared" si="26"/>
        <v>63495</v>
      </c>
    </row>
    <row r="363" spans="1:10" x14ac:dyDescent="0.35">
      <c r="A363" s="1">
        <v>44374</v>
      </c>
      <c r="C363" s="2" t="s">
        <v>4</v>
      </c>
      <c r="D363" s="2">
        <f t="shared" si="25"/>
        <v>0</v>
      </c>
      <c r="E363" s="21">
        <f t="shared" si="27"/>
        <v>49385</v>
      </c>
      <c r="J363" s="3">
        <f t="shared" si="26"/>
        <v>49385</v>
      </c>
    </row>
    <row r="364" spans="1:10" x14ac:dyDescent="0.35">
      <c r="A364" s="1">
        <v>44375</v>
      </c>
      <c r="C364" s="2" t="s">
        <v>4</v>
      </c>
      <c r="D364" s="2">
        <f t="shared" si="25"/>
        <v>0</v>
      </c>
      <c r="E364" s="21">
        <f t="shared" si="27"/>
        <v>0</v>
      </c>
      <c r="J364" s="3">
        <f t="shared" si="26"/>
        <v>0</v>
      </c>
    </row>
    <row r="365" spans="1:10" x14ac:dyDescent="0.35">
      <c r="A365" s="1">
        <v>44376</v>
      </c>
      <c r="C365" s="2" t="s">
        <v>4</v>
      </c>
      <c r="D365" s="2">
        <f t="shared" si="25"/>
        <v>0</v>
      </c>
      <c r="E365" s="21">
        <f t="shared" si="27"/>
        <v>0</v>
      </c>
      <c r="J365" s="3">
        <f t="shared" si="26"/>
        <v>0</v>
      </c>
    </row>
    <row r="366" spans="1:10" x14ac:dyDescent="0.35">
      <c r="A366" s="1">
        <v>44377</v>
      </c>
      <c r="C366" s="2" t="s">
        <v>4</v>
      </c>
      <c r="D366" s="2">
        <f t="shared" si="25"/>
        <v>0</v>
      </c>
      <c r="E366" s="21">
        <f t="shared" si="27"/>
        <v>0</v>
      </c>
      <c r="J366" s="3">
        <f t="shared" si="26"/>
        <v>0</v>
      </c>
    </row>
    <row r="367" spans="1:10" x14ac:dyDescent="0.35">
      <c r="A367" s="1">
        <v>44378</v>
      </c>
      <c r="C367" s="2" t="s">
        <v>4</v>
      </c>
      <c r="D367" s="2">
        <f t="shared" si="25"/>
        <v>0</v>
      </c>
      <c r="E367" s="21">
        <f t="shared" si="27"/>
        <v>0</v>
      </c>
      <c r="J367" s="3">
        <f t="shared" si="26"/>
        <v>0</v>
      </c>
    </row>
    <row r="368" spans="1:10" x14ac:dyDescent="0.35">
      <c r="A368" s="2"/>
      <c r="E368" s="2" t="s">
        <v>0</v>
      </c>
      <c r="I368" s="2" t="s">
        <v>1</v>
      </c>
      <c r="J368" s="3"/>
    </row>
    <row r="369" spans="1:10" x14ac:dyDescent="0.35">
      <c r="A369" s="2" t="s">
        <v>29</v>
      </c>
      <c r="E369" s="3">
        <f>NPV(0.045,E2:E367,A2:A367)</f>
        <v>682850.11435740185</v>
      </c>
      <c r="I369" s="3">
        <f>NPV(0.045,I2:I93,A2:A93)</f>
        <v>38533.146578837062</v>
      </c>
      <c r="J369" s="3"/>
    </row>
    <row r="370" spans="1:10" x14ac:dyDescent="0.35">
      <c r="A370" s="1" t="s">
        <v>31</v>
      </c>
      <c r="E370" s="24">
        <f>E369/I371*1000</f>
        <v>0.94658436275770075</v>
      </c>
      <c r="I370" s="24">
        <f>I369/I371*1000</f>
        <v>5.341563724229928E-2</v>
      </c>
      <c r="J370" s="3"/>
    </row>
    <row r="371" spans="1:10" x14ac:dyDescent="0.35">
      <c r="A371" s="2" t="s">
        <v>30</v>
      </c>
      <c r="E371" s="3"/>
      <c r="I371" s="23">
        <f>(E369+I369)*1000</f>
        <v>721383260.93623888</v>
      </c>
      <c r="J371" s="3"/>
    </row>
    <row r="372" spans="1:10" x14ac:dyDescent="0.35">
      <c r="A372" s="2" t="s">
        <v>34</v>
      </c>
      <c r="E372" s="2">
        <f>NPV(0.1,B2:B367,A2:A367)</f>
        <v>1503009.209459916</v>
      </c>
    </row>
    <row r="373" spans="1:10" x14ac:dyDescent="0.35">
      <c r="A373" s="2" t="s">
        <v>35</v>
      </c>
      <c r="E373" s="2">
        <f>E372-Предложение!E370</f>
        <v>1501016.6171979702</v>
      </c>
    </row>
    <row r="374" spans="1:10" x14ac:dyDescent="0.35">
      <c r="A374" s="2" t="s">
        <v>36</v>
      </c>
      <c r="I374" s="30">
        <f>Предложение!E371-'Текущий контракт'!I371</f>
        <v>2101464940.1640263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C054-F58B-4DA9-87C4-AC4C0FD5DAA2}">
  <dimension ref="A1:L371"/>
  <sheetViews>
    <sheetView topLeftCell="A351" workbookViewId="0">
      <selection activeCell="E370" sqref="E370"/>
    </sheetView>
  </sheetViews>
  <sheetFormatPr defaultRowHeight="14.5" x14ac:dyDescent="0.35"/>
  <cols>
    <col min="1" max="1" width="11.6328125" customWidth="1"/>
    <col min="5" max="5" width="13.453125" customWidth="1"/>
    <col min="9" max="9" width="13.36328125" customWidth="1"/>
    <col min="10" max="10" width="13.81640625" bestFit="1" customWidth="1"/>
    <col min="11" max="11" width="18.36328125" customWidth="1"/>
  </cols>
  <sheetData>
    <row r="1" spans="1:12" ht="26.5" customHeight="1" x14ac:dyDescent="0.35">
      <c r="A1" s="17" t="s">
        <v>6</v>
      </c>
      <c r="B1" s="26" t="s">
        <v>2</v>
      </c>
      <c r="C1" s="17" t="s">
        <v>5</v>
      </c>
      <c r="D1" s="27" t="s">
        <v>27</v>
      </c>
      <c r="E1" s="18" t="s">
        <v>28</v>
      </c>
    </row>
    <row r="2" spans="1:12" x14ac:dyDescent="0.35">
      <c r="A2" s="1">
        <v>44013</v>
      </c>
      <c r="B2" s="25"/>
      <c r="C2" s="2" t="s">
        <v>4</v>
      </c>
      <c r="D2" s="3">
        <v>0</v>
      </c>
      <c r="E2" s="19">
        <f>(L2+L3)*L5</f>
        <v>2950000</v>
      </c>
      <c r="F2">
        <v>0</v>
      </c>
      <c r="I2" t="s">
        <v>24</v>
      </c>
      <c r="L2" s="3">
        <v>45000</v>
      </c>
    </row>
    <row r="3" spans="1:12" x14ac:dyDescent="0.35">
      <c r="A3" s="1">
        <v>44014</v>
      </c>
      <c r="B3" s="2"/>
      <c r="C3" s="2"/>
      <c r="D3" s="3">
        <v>0</v>
      </c>
      <c r="E3" s="19">
        <v>0</v>
      </c>
      <c r="F3">
        <v>0</v>
      </c>
      <c r="I3" t="s">
        <v>25</v>
      </c>
      <c r="L3" s="3">
        <v>5000</v>
      </c>
    </row>
    <row r="4" spans="1:12" x14ac:dyDescent="0.35">
      <c r="A4" s="1">
        <v>44015</v>
      </c>
      <c r="B4" s="2"/>
      <c r="C4" s="2"/>
      <c r="D4" s="3">
        <v>0</v>
      </c>
      <c r="E4" s="19">
        <v>0</v>
      </c>
      <c r="F4">
        <v>0</v>
      </c>
      <c r="I4" t="s">
        <v>26</v>
      </c>
      <c r="L4" s="3">
        <v>200</v>
      </c>
    </row>
    <row r="5" spans="1:12" x14ac:dyDescent="0.35">
      <c r="A5" s="1">
        <v>44016</v>
      </c>
      <c r="B5" s="2"/>
      <c r="C5" s="2"/>
      <c r="D5" s="3">
        <v>0</v>
      </c>
      <c r="E5" s="19">
        <v>0</v>
      </c>
      <c r="F5">
        <v>0</v>
      </c>
      <c r="I5" t="s">
        <v>20</v>
      </c>
      <c r="L5">
        <v>59</v>
      </c>
    </row>
    <row r="6" spans="1:12" x14ac:dyDescent="0.35">
      <c r="A6" s="1">
        <v>44017</v>
      </c>
      <c r="B6" s="2"/>
      <c r="C6" s="2"/>
      <c r="D6" s="3">
        <v>0</v>
      </c>
      <c r="E6" s="19">
        <v>0</v>
      </c>
      <c r="F6">
        <v>0</v>
      </c>
      <c r="I6" t="s">
        <v>21</v>
      </c>
      <c r="L6" s="3">
        <v>890</v>
      </c>
    </row>
    <row r="7" spans="1:12" x14ac:dyDescent="0.35">
      <c r="A7" s="1">
        <v>44018</v>
      </c>
      <c r="B7" s="2"/>
      <c r="C7" s="2"/>
      <c r="D7" s="3">
        <v>0</v>
      </c>
      <c r="E7" s="19">
        <v>0</v>
      </c>
      <c r="F7">
        <v>0</v>
      </c>
      <c r="I7" t="s">
        <v>23</v>
      </c>
      <c r="L7" s="3">
        <v>870</v>
      </c>
    </row>
    <row r="8" spans="1:12" x14ac:dyDescent="0.35">
      <c r="A8" s="1">
        <v>44019</v>
      </c>
      <c r="B8" s="2"/>
      <c r="C8" s="2"/>
      <c r="D8" s="3">
        <v>0</v>
      </c>
      <c r="E8" s="19">
        <v>0</v>
      </c>
      <c r="F8">
        <v>0</v>
      </c>
      <c r="I8" t="s">
        <v>32</v>
      </c>
      <c r="L8" s="3">
        <v>4</v>
      </c>
    </row>
    <row r="9" spans="1:12" x14ac:dyDescent="0.35">
      <c r="A9" s="1">
        <v>44020</v>
      </c>
      <c r="B9" s="2"/>
      <c r="C9" s="2"/>
      <c r="D9" s="3">
        <v>0</v>
      </c>
      <c r="E9" s="19">
        <v>0</v>
      </c>
      <c r="F9">
        <v>0</v>
      </c>
      <c r="L9" s="8"/>
    </row>
    <row r="10" spans="1:12" x14ac:dyDescent="0.35">
      <c r="A10" s="1">
        <v>44021</v>
      </c>
      <c r="B10" s="2"/>
      <c r="C10" s="2"/>
      <c r="D10" s="3">
        <v>0</v>
      </c>
      <c r="E10" s="19">
        <v>0</v>
      </c>
      <c r="F10">
        <v>0</v>
      </c>
      <c r="L10" s="8"/>
    </row>
    <row r="11" spans="1:12" x14ac:dyDescent="0.35">
      <c r="A11" s="1">
        <v>44022</v>
      </c>
      <c r="B11" s="2"/>
      <c r="C11" s="2"/>
      <c r="D11" s="3">
        <v>0</v>
      </c>
      <c r="E11" s="19">
        <v>0</v>
      </c>
      <c r="F11">
        <v>0</v>
      </c>
      <c r="L11" s="8"/>
    </row>
    <row r="12" spans="1:12" x14ac:dyDescent="0.35">
      <c r="A12" s="1">
        <v>44023</v>
      </c>
      <c r="B12" s="2"/>
      <c r="C12" s="2"/>
      <c r="D12" s="3">
        <v>0</v>
      </c>
      <c r="E12" s="19">
        <v>0</v>
      </c>
      <c r="F12">
        <v>0</v>
      </c>
      <c r="I12" s="10"/>
      <c r="J12" s="10" t="s">
        <v>9</v>
      </c>
      <c r="K12" s="10" t="s">
        <v>10</v>
      </c>
      <c r="L12" s="8"/>
    </row>
    <row r="13" spans="1:12" x14ac:dyDescent="0.35">
      <c r="A13" s="1">
        <v>44024</v>
      </c>
      <c r="B13" s="2"/>
      <c r="C13" s="2"/>
      <c r="D13" s="3">
        <v>0</v>
      </c>
      <c r="E13" s="19">
        <v>0</v>
      </c>
      <c r="F13">
        <v>0</v>
      </c>
      <c r="I13" s="11" t="s">
        <v>11</v>
      </c>
      <c r="J13" s="10">
        <v>67.7</v>
      </c>
      <c r="K13" s="10">
        <v>88.3</v>
      </c>
    </row>
    <row r="14" spans="1:12" x14ac:dyDescent="0.35">
      <c r="A14" s="1">
        <v>44025</v>
      </c>
      <c r="B14" s="2"/>
      <c r="C14" s="2"/>
      <c r="D14" s="3">
        <v>0</v>
      </c>
      <c r="E14" s="19">
        <v>0</v>
      </c>
      <c r="F14">
        <v>0</v>
      </c>
      <c r="I14" s="11" t="s">
        <v>12</v>
      </c>
      <c r="J14" s="10">
        <v>69.599999999999994</v>
      </c>
      <c r="K14" s="10">
        <v>93.8</v>
      </c>
    </row>
    <row r="15" spans="1:12" x14ac:dyDescent="0.35">
      <c r="A15" s="1">
        <v>44026</v>
      </c>
      <c r="B15" s="2"/>
      <c r="C15" s="2"/>
      <c r="D15" s="3">
        <v>0</v>
      </c>
      <c r="E15" s="19">
        <v>0</v>
      </c>
      <c r="F15">
        <v>0</v>
      </c>
      <c r="I15" s="11" t="s">
        <v>13</v>
      </c>
      <c r="J15" s="10">
        <v>76.900000000000006</v>
      </c>
      <c r="K15" s="10">
        <v>103</v>
      </c>
    </row>
    <row r="16" spans="1:12" x14ac:dyDescent="0.35">
      <c r="A16" s="1">
        <v>44027</v>
      </c>
      <c r="B16" s="2"/>
      <c r="C16" s="2"/>
      <c r="D16" s="3">
        <v>0</v>
      </c>
      <c r="E16" s="19">
        <v>0</v>
      </c>
      <c r="F16">
        <v>0</v>
      </c>
      <c r="I16" s="11" t="s">
        <v>14</v>
      </c>
      <c r="J16" s="10">
        <v>93.2</v>
      </c>
      <c r="K16" s="10">
        <v>122.6</v>
      </c>
    </row>
    <row r="17" spans="1:11" x14ac:dyDescent="0.35">
      <c r="A17" s="1">
        <v>44028</v>
      </c>
      <c r="B17" s="2"/>
      <c r="C17" s="2"/>
      <c r="D17" s="3">
        <v>0</v>
      </c>
      <c r="E17" s="19">
        <v>0</v>
      </c>
      <c r="F17">
        <v>0</v>
      </c>
      <c r="I17" s="11" t="s">
        <v>15</v>
      </c>
      <c r="J17" s="10">
        <v>133.69999999999999</v>
      </c>
      <c r="K17" s="10">
        <v>157</v>
      </c>
    </row>
    <row r="18" spans="1:11" x14ac:dyDescent="0.35">
      <c r="A18" s="1">
        <v>44029</v>
      </c>
      <c r="B18" s="2"/>
      <c r="C18" s="2"/>
      <c r="D18" s="3">
        <v>0</v>
      </c>
      <c r="E18" s="19">
        <v>0</v>
      </c>
      <c r="F18">
        <v>0</v>
      </c>
      <c r="I18" s="11" t="s">
        <v>16</v>
      </c>
      <c r="J18" s="10">
        <v>133.69999999999999</v>
      </c>
      <c r="K18" s="10">
        <v>168.8</v>
      </c>
    </row>
    <row r="19" spans="1:11" x14ac:dyDescent="0.35">
      <c r="A19" s="1">
        <v>44030</v>
      </c>
      <c r="B19" s="2"/>
      <c r="C19" s="2"/>
      <c r="D19" s="3">
        <v>0</v>
      </c>
      <c r="E19" s="19">
        <v>0</v>
      </c>
      <c r="F19">
        <v>0</v>
      </c>
      <c r="I19" s="11" t="s">
        <v>17</v>
      </c>
      <c r="J19" s="10">
        <v>142</v>
      </c>
      <c r="K19" s="10">
        <v>172</v>
      </c>
    </row>
    <row r="20" spans="1:11" x14ac:dyDescent="0.35">
      <c r="A20" s="1">
        <v>44031</v>
      </c>
      <c r="B20" s="2"/>
      <c r="C20" s="2"/>
      <c r="D20" s="3">
        <v>0</v>
      </c>
      <c r="E20" s="19">
        <v>0</v>
      </c>
      <c r="F20">
        <v>0</v>
      </c>
      <c r="I20" s="11" t="s">
        <v>18</v>
      </c>
      <c r="J20" s="10">
        <v>141.1</v>
      </c>
      <c r="K20" s="10">
        <v>171.2</v>
      </c>
    </row>
    <row r="21" spans="1:11" x14ac:dyDescent="0.35">
      <c r="A21" s="1">
        <v>44032</v>
      </c>
      <c r="B21" s="2"/>
      <c r="C21" s="2"/>
      <c r="D21" s="3">
        <v>0</v>
      </c>
      <c r="E21" s="19">
        <v>0</v>
      </c>
      <c r="F21">
        <v>0</v>
      </c>
      <c r="I21" s="11" t="s">
        <v>19</v>
      </c>
      <c r="J21" s="10">
        <v>137</v>
      </c>
      <c r="K21" s="10">
        <v>162.30000000000001</v>
      </c>
    </row>
    <row r="22" spans="1:11" x14ac:dyDescent="0.35">
      <c r="A22" s="1">
        <v>44033</v>
      </c>
      <c r="B22" s="2"/>
      <c r="C22" s="2"/>
      <c r="D22" s="3">
        <v>0</v>
      </c>
      <c r="E22" s="19">
        <v>0</v>
      </c>
      <c r="F22">
        <v>0</v>
      </c>
      <c r="I22" s="12"/>
      <c r="J22" s="13"/>
      <c r="K22" s="13"/>
    </row>
    <row r="23" spans="1:11" x14ac:dyDescent="0.35">
      <c r="A23" s="1">
        <v>44034</v>
      </c>
      <c r="B23" s="2"/>
      <c r="C23" s="2"/>
      <c r="D23" s="3">
        <v>0</v>
      </c>
      <c r="E23" s="19">
        <v>0</v>
      </c>
      <c r="F23">
        <v>0</v>
      </c>
    </row>
    <row r="24" spans="1:11" x14ac:dyDescent="0.35">
      <c r="A24" s="1">
        <v>44035</v>
      </c>
      <c r="B24" s="2"/>
      <c r="C24" s="2"/>
      <c r="D24" s="3">
        <v>0</v>
      </c>
      <c r="E24" s="19">
        <v>0</v>
      </c>
      <c r="F24">
        <v>0</v>
      </c>
    </row>
    <row r="25" spans="1:11" x14ac:dyDescent="0.35">
      <c r="A25" s="1">
        <v>44036</v>
      </c>
      <c r="B25" s="2"/>
      <c r="C25" s="2"/>
      <c r="D25" s="3">
        <v>0</v>
      </c>
      <c r="E25" s="19">
        <v>0</v>
      </c>
      <c r="F25">
        <v>0</v>
      </c>
    </row>
    <row r="26" spans="1:11" x14ac:dyDescent="0.35">
      <c r="A26" s="1">
        <v>44037</v>
      </c>
      <c r="B26" s="2"/>
      <c r="C26" s="2"/>
      <c r="D26" s="3">
        <v>0</v>
      </c>
      <c r="E26" s="19">
        <v>0</v>
      </c>
      <c r="F26">
        <v>0</v>
      </c>
    </row>
    <row r="27" spans="1:11" x14ac:dyDescent="0.35">
      <c r="A27" s="1">
        <v>44038</v>
      </c>
      <c r="B27" s="2"/>
      <c r="C27" s="2"/>
      <c r="D27" s="3">
        <v>0</v>
      </c>
      <c r="E27" s="19">
        <v>0</v>
      </c>
      <c r="F27">
        <v>0</v>
      </c>
    </row>
    <row r="28" spans="1:11" x14ac:dyDescent="0.35">
      <c r="A28" s="1">
        <v>44039</v>
      </c>
      <c r="B28" s="2"/>
      <c r="C28" s="2"/>
      <c r="D28" s="3">
        <v>0</v>
      </c>
      <c r="E28" s="19">
        <v>0</v>
      </c>
      <c r="F28">
        <v>0</v>
      </c>
    </row>
    <row r="29" spans="1:11" x14ac:dyDescent="0.35">
      <c r="A29" s="1">
        <v>44040</v>
      </c>
      <c r="B29" s="2"/>
      <c r="C29" s="2"/>
      <c r="D29" s="3">
        <v>0</v>
      </c>
      <c r="E29" s="19">
        <v>0</v>
      </c>
      <c r="F29">
        <v>0</v>
      </c>
    </row>
    <row r="30" spans="1:11" x14ac:dyDescent="0.35">
      <c r="A30" s="1">
        <v>44041</v>
      </c>
      <c r="B30" s="2"/>
      <c r="C30" s="2"/>
      <c r="D30" s="3">
        <v>0</v>
      </c>
      <c r="E30" s="19">
        <v>0</v>
      </c>
      <c r="F30">
        <v>0</v>
      </c>
    </row>
    <row r="31" spans="1:11" x14ac:dyDescent="0.35">
      <c r="A31" s="1">
        <v>44042</v>
      </c>
      <c r="B31" s="2"/>
      <c r="C31" s="2"/>
      <c r="D31" s="3">
        <v>0</v>
      </c>
      <c r="E31" s="19">
        <v>0</v>
      </c>
      <c r="F31">
        <v>0</v>
      </c>
    </row>
    <row r="32" spans="1:11" x14ac:dyDescent="0.35">
      <c r="A32" s="1">
        <v>44043</v>
      </c>
      <c r="B32" s="2"/>
      <c r="C32" s="2"/>
      <c r="D32" s="3">
        <v>0</v>
      </c>
      <c r="E32" s="19">
        <v>0</v>
      </c>
      <c r="F32">
        <v>0</v>
      </c>
    </row>
    <row r="33" spans="1:6" x14ac:dyDescent="0.35">
      <c r="A33" s="1">
        <v>44044</v>
      </c>
      <c r="B33" s="2"/>
      <c r="C33" s="2"/>
      <c r="D33" s="3">
        <v>0</v>
      </c>
      <c r="E33" s="19">
        <v>0</v>
      </c>
      <c r="F33">
        <v>0</v>
      </c>
    </row>
    <row r="34" spans="1:6" x14ac:dyDescent="0.35">
      <c r="A34" s="1">
        <v>44045</v>
      </c>
      <c r="B34" s="2"/>
      <c r="C34" s="2"/>
      <c r="D34" s="3">
        <v>0</v>
      </c>
      <c r="E34" s="19">
        <v>0</v>
      </c>
      <c r="F34">
        <v>0</v>
      </c>
    </row>
    <row r="35" spans="1:6" x14ac:dyDescent="0.35">
      <c r="A35" s="1">
        <v>44046</v>
      </c>
      <c r="B35" s="2"/>
      <c r="C35" s="2"/>
      <c r="D35" s="3">
        <v>0</v>
      </c>
      <c r="E35" s="19">
        <v>0</v>
      </c>
      <c r="F35">
        <v>0</v>
      </c>
    </row>
    <row r="36" spans="1:6" x14ac:dyDescent="0.35">
      <c r="A36" s="1">
        <v>44047</v>
      </c>
      <c r="B36" s="2"/>
      <c r="C36" s="2"/>
      <c r="D36" s="3">
        <v>0</v>
      </c>
      <c r="E36" s="19">
        <v>0</v>
      </c>
      <c r="F36">
        <v>0</v>
      </c>
    </row>
    <row r="37" spans="1:6" x14ac:dyDescent="0.35">
      <c r="A37" s="1">
        <v>44048</v>
      </c>
      <c r="B37" s="2"/>
      <c r="C37" s="2"/>
      <c r="D37" s="3">
        <v>0</v>
      </c>
      <c r="E37" s="19">
        <v>0</v>
      </c>
      <c r="F37">
        <v>0</v>
      </c>
    </row>
    <row r="38" spans="1:6" x14ac:dyDescent="0.35">
      <c r="A38" s="1">
        <v>44049</v>
      </c>
      <c r="B38" s="2"/>
      <c r="C38" s="2"/>
      <c r="D38" s="3">
        <v>0</v>
      </c>
      <c r="E38" s="19">
        <v>0</v>
      </c>
      <c r="F38">
        <v>0</v>
      </c>
    </row>
    <row r="39" spans="1:6" x14ac:dyDescent="0.35">
      <c r="A39" s="1">
        <v>44050</v>
      </c>
      <c r="B39" s="2"/>
      <c r="C39" s="2"/>
      <c r="D39" s="3">
        <v>0</v>
      </c>
      <c r="E39" s="19">
        <v>0</v>
      </c>
      <c r="F39">
        <v>0</v>
      </c>
    </row>
    <row r="40" spans="1:6" x14ac:dyDescent="0.35">
      <c r="A40" s="1">
        <v>44051</v>
      </c>
      <c r="B40" s="2"/>
      <c r="C40" s="2"/>
      <c r="D40" s="3">
        <v>0</v>
      </c>
      <c r="E40" s="19">
        <v>0</v>
      </c>
      <c r="F40">
        <v>0</v>
      </c>
    </row>
    <row r="41" spans="1:6" x14ac:dyDescent="0.35">
      <c r="A41" s="1">
        <v>44052</v>
      </c>
      <c r="B41" s="2"/>
      <c r="C41" s="2"/>
      <c r="D41" s="3">
        <v>0</v>
      </c>
      <c r="E41" s="19">
        <v>0</v>
      </c>
      <c r="F41">
        <v>0</v>
      </c>
    </row>
    <row r="42" spans="1:6" x14ac:dyDescent="0.35">
      <c r="A42" s="1">
        <v>44053</v>
      </c>
      <c r="B42" s="2"/>
      <c r="C42" s="2"/>
      <c r="D42" s="3">
        <v>0</v>
      </c>
      <c r="E42" s="19">
        <v>0</v>
      </c>
      <c r="F42">
        <v>0</v>
      </c>
    </row>
    <row r="43" spans="1:6" x14ac:dyDescent="0.35">
      <c r="A43" s="1">
        <v>44054</v>
      </c>
      <c r="B43" s="2"/>
      <c r="C43" s="2"/>
      <c r="D43" s="3">
        <v>0</v>
      </c>
      <c r="E43" s="19">
        <v>0</v>
      </c>
      <c r="F43">
        <v>0</v>
      </c>
    </row>
    <row r="44" spans="1:6" x14ac:dyDescent="0.35">
      <c r="A44" s="1">
        <v>44055</v>
      </c>
      <c r="B44" s="2"/>
      <c r="C44" s="2"/>
      <c r="D44" s="3">
        <v>0</v>
      </c>
      <c r="E44" s="19">
        <v>0</v>
      </c>
      <c r="F44">
        <v>0</v>
      </c>
    </row>
    <row r="45" spans="1:6" x14ac:dyDescent="0.35">
      <c r="A45" s="1">
        <v>44056</v>
      </c>
      <c r="B45" s="2"/>
      <c r="C45" s="2"/>
      <c r="D45" s="3">
        <v>0</v>
      </c>
      <c r="E45" s="19">
        <v>0</v>
      </c>
      <c r="F45">
        <v>0</v>
      </c>
    </row>
    <row r="46" spans="1:6" x14ac:dyDescent="0.35">
      <c r="A46" s="1">
        <v>44057</v>
      </c>
      <c r="B46" s="2"/>
      <c r="C46" s="2"/>
      <c r="D46" s="3">
        <v>0</v>
      </c>
      <c r="E46" s="19">
        <v>0</v>
      </c>
      <c r="F46">
        <v>0</v>
      </c>
    </row>
    <row r="47" spans="1:6" x14ac:dyDescent="0.35">
      <c r="A47" s="1">
        <v>44058</v>
      </c>
      <c r="B47" s="2"/>
      <c r="C47" s="2"/>
      <c r="D47" s="3">
        <v>0</v>
      </c>
      <c r="E47" s="19">
        <v>0</v>
      </c>
      <c r="F47">
        <v>0</v>
      </c>
    </row>
    <row r="48" spans="1:6" x14ac:dyDescent="0.35">
      <c r="A48" s="1">
        <v>44059</v>
      </c>
      <c r="B48" s="2"/>
      <c r="C48" s="2"/>
      <c r="D48" s="3">
        <v>0</v>
      </c>
      <c r="E48" s="19">
        <v>0</v>
      </c>
      <c r="F48">
        <v>0</v>
      </c>
    </row>
    <row r="49" spans="1:6" x14ac:dyDescent="0.35">
      <c r="A49" s="1">
        <v>44060</v>
      </c>
      <c r="B49" s="2"/>
      <c r="C49" s="2"/>
      <c r="D49" s="3">
        <v>0</v>
      </c>
      <c r="E49" s="19">
        <v>0</v>
      </c>
      <c r="F49">
        <v>0</v>
      </c>
    </row>
    <row r="50" spans="1:6" x14ac:dyDescent="0.35">
      <c r="A50" s="1">
        <v>44061</v>
      </c>
      <c r="B50" s="2"/>
      <c r="C50" s="2"/>
      <c r="D50" s="3">
        <v>0</v>
      </c>
      <c r="E50" s="19">
        <v>0</v>
      </c>
      <c r="F50">
        <v>0</v>
      </c>
    </row>
    <row r="51" spans="1:6" x14ac:dyDescent="0.35">
      <c r="A51" s="1">
        <v>44062</v>
      </c>
      <c r="B51" s="2"/>
      <c r="C51" s="2"/>
      <c r="D51" s="3">
        <v>0</v>
      </c>
      <c r="E51" s="19">
        <v>0</v>
      </c>
      <c r="F51">
        <v>0</v>
      </c>
    </row>
    <row r="52" spans="1:6" x14ac:dyDescent="0.35">
      <c r="A52" s="1">
        <v>44063</v>
      </c>
      <c r="B52" s="2"/>
      <c r="C52" s="2"/>
      <c r="D52" s="3">
        <v>0</v>
      </c>
      <c r="E52" s="19">
        <v>0</v>
      </c>
      <c r="F52">
        <v>0</v>
      </c>
    </row>
    <row r="53" spans="1:6" x14ac:dyDescent="0.35">
      <c r="A53" s="1">
        <v>44064</v>
      </c>
      <c r="B53" s="2"/>
      <c r="C53" s="2"/>
      <c r="D53" s="3">
        <v>0</v>
      </c>
      <c r="E53" s="19">
        <v>0</v>
      </c>
      <c r="F53">
        <v>0</v>
      </c>
    </row>
    <row r="54" spans="1:6" x14ac:dyDescent="0.35">
      <c r="A54" s="1">
        <v>44065</v>
      </c>
      <c r="B54" s="2"/>
      <c r="C54" s="2"/>
      <c r="D54" s="3">
        <v>0</v>
      </c>
      <c r="E54" s="19">
        <v>0</v>
      </c>
      <c r="F54">
        <v>0</v>
      </c>
    </row>
    <row r="55" spans="1:6" x14ac:dyDescent="0.35">
      <c r="A55" s="1">
        <v>44066</v>
      </c>
      <c r="B55" s="2"/>
      <c r="C55" s="2"/>
      <c r="D55" s="3">
        <v>0</v>
      </c>
      <c r="E55" s="19">
        <v>0</v>
      </c>
      <c r="F55">
        <v>0</v>
      </c>
    </row>
    <row r="56" spans="1:6" x14ac:dyDescent="0.35">
      <c r="A56" s="1">
        <v>44067</v>
      </c>
      <c r="B56" s="2"/>
      <c r="C56" s="2"/>
      <c r="D56" s="3">
        <v>0</v>
      </c>
      <c r="E56" s="19">
        <v>0</v>
      </c>
      <c r="F56">
        <v>0</v>
      </c>
    </row>
    <row r="57" spans="1:6" x14ac:dyDescent="0.35">
      <c r="A57" s="1">
        <v>44068</v>
      </c>
      <c r="B57" s="2"/>
      <c r="C57" s="2"/>
      <c r="D57" s="3">
        <v>0</v>
      </c>
      <c r="E57" s="19">
        <v>0</v>
      </c>
      <c r="F57">
        <v>0</v>
      </c>
    </row>
    <row r="58" spans="1:6" x14ac:dyDescent="0.35">
      <c r="A58" s="1">
        <v>44069</v>
      </c>
      <c r="B58" s="2"/>
      <c r="C58" s="2"/>
      <c r="D58" s="3">
        <v>0</v>
      </c>
      <c r="E58" s="19">
        <v>0</v>
      </c>
      <c r="F58">
        <v>0</v>
      </c>
    </row>
    <row r="59" spans="1:6" x14ac:dyDescent="0.35">
      <c r="A59" s="1">
        <v>44070</v>
      </c>
      <c r="B59" s="2"/>
      <c r="C59" s="2"/>
      <c r="D59" s="3">
        <v>0</v>
      </c>
      <c r="E59" s="19">
        <v>0</v>
      </c>
      <c r="F59">
        <v>0</v>
      </c>
    </row>
    <row r="60" spans="1:6" x14ac:dyDescent="0.35">
      <c r="A60" s="1">
        <v>44071</v>
      </c>
      <c r="B60" s="2"/>
      <c r="C60" s="2"/>
      <c r="D60" s="3">
        <v>0</v>
      </c>
      <c r="E60" s="19">
        <v>0</v>
      </c>
      <c r="F60">
        <v>0</v>
      </c>
    </row>
    <row r="61" spans="1:6" x14ac:dyDescent="0.35">
      <c r="A61" s="1">
        <v>44072</v>
      </c>
      <c r="B61" s="2"/>
      <c r="C61" s="2"/>
      <c r="D61" s="3">
        <v>0</v>
      </c>
      <c r="E61" s="19">
        <v>0</v>
      </c>
      <c r="F61">
        <v>0</v>
      </c>
    </row>
    <row r="62" spans="1:6" x14ac:dyDescent="0.35">
      <c r="A62" s="1">
        <v>44073</v>
      </c>
      <c r="B62" s="2"/>
      <c r="C62" s="2"/>
      <c r="D62" s="3">
        <v>0</v>
      </c>
      <c r="E62" s="19">
        <v>0</v>
      </c>
      <c r="F62">
        <v>0</v>
      </c>
    </row>
    <row r="63" spans="1:6" x14ac:dyDescent="0.35">
      <c r="A63" s="1">
        <v>44074</v>
      </c>
      <c r="B63" s="2"/>
      <c r="C63" s="2"/>
      <c r="D63" s="3">
        <v>0</v>
      </c>
      <c r="E63" s="19">
        <v>0</v>
      </c>
      <c r="F63">
        <v>0</v>
      </c>
    </row>
    <row r="64" spans="1:6" x14ac:dyDescent="0.35">
      <c r="A64" s="1">
        <v>44075</v>
      </c>
      <c r="B64" s="2"/>
      <c r="C64" s="2"/>
      <c r="D64" s="3">
        <v>0</v>
      </c>
      <c r="E64" s="19">
        <v>0</v>
      </c>
      <c r="F64">
        <v>0</v>
      </c>
    </row>
    <row r="65" spans="1:6" x14ac:dyDescent="0.35">
      <c r="A65" s="1">
        <v>44076</v>
      </c>
      <c r="B65" s="2"/>
      <c r="C65" s="2"/>
      <c r="D65" s="3">
        <v>0</v>
      </c>
      <c r="E65" s="19">
        <v>0</v>
      </c>
      <c r="F65">
        <v>0</v>
      </c>
    </row>
    <row r="66" spans="1:6" x14ac:dyDescent="0.35">
      <c r="A66" s="1">
        <v>44077</v>
      </c>
      <c r="B66" s="2"/>
      <c r="C66" s="2"/>
      <c r="D66" s="3">
        <v>0</v>
      </c>
      <c r="E66" s="19">
        <v>0</v>
      </c>
      <c r="F66">
        <v>0</v>
      </c>
    </row>
    <row r="67" spans="1:6" x14ac:dyDescent="0.35">
      <c r="A67" s="1">
        <v>44078</v>
      </c>
      <c r="B67" s="2"/>
      <c r="C67" s="2"/>
      <c r="D67" s="3">
        <v>0</v>
      </c>
      <c r="E67" s="19">
        <v>0</v>
      </c>
      <c r="F67">
        <v>0</v>
      </c>
    </row>
    <row r="68" spans="1:6" x14ac:dyDescent="0.35">
      <c r="A68" s="1">
        <v>44079</v>
      </c>
      <c r="B68" s="2"/>
      <c r="C68" s="2"/>
      <c r="D68" s="3">
        <v>0</v>
      </c>
      <c r="E68" s="19">
        <v>0</v>
      </c>
      <c r="F68">
        <v>0</v>
      </c>
    </row>
    <row r="69" spans="1:6" x14ac:dyDescent="0.35">
      <c r="A69" s="1">
        <v>44080</v>
      </c>
      <c r="B69" s="2"/>
      <c r="C69" s="2"/>
      <c r="D69" s="3">
        <v>0</v>
      </c>
      <c r="E69" s="19">
        <v>0</v>
      </c>
      <c r="F69">
        <v>0</v>
      </c>
    </row>
    <row r="70" spans="1:6" x14ac:dyDescent="0.35">
      <c r="A70" s="1">
        <v>44081</v>
      </c>
      <c r="B70" s="2"/>
      <c r="C70" s="2"/>
      <c r="D70" s="3">
        <v>0</v>
      </c>
      <c r="E70" s="19">
        <v>0</v>
      </c>
      <c r="F70">
        <v>0</v>
      </c>
    </row>
    <row r="71" spans="1:6" x14ac:dyDescent="0.35">
      <c r="A71" s="1">
        <v>44082</v>
      </c>
      <c r="B71" s="2"/>
      <c r="C71" s="2"/>
      <c r="D71" s="3">
        <v>0</v>
      </c>
      <c r="E71" s="19">
        <v>0</v>
      </c>
      <c r="F71">
        <v>0</v>
      </c>
    </row>
    <row r="72" spans="1:6" x14ac:dyDescent="0.35">
      <c r="A72" s="1">
        <v>44083</v>
      </c>
      <c r="B72" s="2"/>
      <c r="C72" s="2"/>
      <c r="D72" s="3">
        <v>0</v>
      </c>
      <c r="E72" s="19">
        <v>0</v>
      </c>
      <c r="F72">
        <v>0</v>
      </c>
    </row>
    <row r="73" spans="1:6" x14ac:dyDescent="0.35">
      <c r="A73" s="1">
        <v>44084</v>
      </c>
      <c r="B73" s="2"/>
      <c r="C73" s="2"/>
      <c r="D73" s="3">
        <v>0</v>
      </c>
      <c r="E73" s="19">
        <v>0</v>
      </c>
      <c r="F73">
        <v>0</v>
      </c>
    </row>
    <row r="74" spans="1:6" x14ac:dyDescent="0.35">
      <c r="A74" s="1">
        <v>44085</v>
      </c>
      <c r="B74" s="2"/>
      <c r="C74" s="2"/>
      <c r="D74" s="3">
        <v>0</v>
      </c>
      <c r="E74" s="19">
        <v>0</v>
      </c>
      <c r="F74">
        <v>0</v>
      </c>
    </row>
    <row r="75" spans="1:6" x14ac:dyDescent="0.35">
      <c r="A75" s="1">
        <v>44086</v>
      </c>
      <c r="B75" s="2"/>
      <c r="C75" s="2"/>
      <c r="D75" s="3">
        <v>0</v>
      </c>
      <c r="E75" s="19">
        <v>0</v>
      </c>
      <c r="F75">
        <v>0</v>
      </c>
    </row>
    <row r="76" spans="1:6" x14ac:dyDescent="0.35">
      <c r="A76" s="1">
        <v>44087</v>
      </c>
      <c r="B76" s="2"/>
      <c r="C76" s="2"/>
      <c r="D76" s="3">
        <v>0</v>
      </c>
      <c r="E76" s="19">
        <v>0</v>
      </c>
      <c r="F76">
        <v>0</v>
      </c>
    </row>
    <row r="77" spans="1:6" x14ac:dyDescent="0.35">
      <c r="A77" s="1">
        <v>44088</v>
      </c>
      <c r="B77" s="2"/>
      <c r="C77" s="2"/>
      <c r="D77" s="3">
        <v>0</v>
      </c>
      <c r="E77" s="19">
        <v>0</v>
      </c>
      <c r="F77">
        <v>0</v>
      </c>
    </row>
    <row r="78" spans="1:6" x14ac:dyDescent="0.35">
      <c r="A78" s="1">
        <v>44089</v>
      </c>
      <c r="B78" s="2"/>
      <c r="C78" s="2"/>
      <c r="D78" s="3">
        <v>0</v>
      </c>
      <c r="E78" s="19">
        <v>0</v>
      </c>
      <c r="F78">
        <v>0</v>
      </c>
    </row>
    <row r="79" spans="1:6" x14ac:dyDescent="0.35">
      <c r="A79" s="1">
        <v>44090</v>
      </c>
      <c r="B79" s="2"/>
      <c r="C79" s="2"/>
      <c r="D79" s="3">
        <v>0</v>
      </c>
      <c r="E79" s="19">
        <v>0</v>
      </c>
      <c r="F79">
        <v>0</v>
      </c>
    </row>
    <row r="80" spans="1:6" x14ac:dyDescent="0.35">
      <c r="A80" s="1">
        <v>44091</v>
      </c>
      <c r="B80" s="2"/>
      <c r="C80" s="2"/>
      <c r="D80" s="3">
        <v>0</v>
      </c>
      <c r="E80" s="19">
        <v>0</v>
      </c>
      <c r="F80">
        <v>0</v>
      </c>
    </row>
    <row r="81" spans="1:6" x14ac:dyDescent="0.35">
      <c r="A81" s="1">
        <v>44092</v>
      </c>
      <c r="B81" s="2"/>
      <c r="C81" s="2"/>
      <c r="D81" s="3">
        <v>0</v>
      </c>
      <c r="E81" s="19">
        <v>0</v>
      </c>
      <c r="F81">
        <v>0</v>
      </c>
    </row>
    <row r="82" spans="1:6" x14ac:dyDescent="0.35">
      <c r="A82" s="1">
        <v>44093</v>
      </c>
      <c r="B82" s="2"/>
      <c r="C82" s="2"/>
      <c r="D82" s="3">
        <v>0</v>
      </c>
      <c r="E82" s="19">
        <v>0</v>
      </c>
      <c r="F82">
        <v>0</v>
      </c>
    </row>
    <row r="83" spans="1:6" x14ac:dyDescent="0.35">
      <c r="A83" s="1">
        <v>44094</v>
      </c>
      <c r="B83" s="2"/>
      <c r="C83" s="2"/>
      <c r="D83" s="3">
        <v>0</v>
      </c>
      <c r="E83" s="19">
        <v>0</v>
      </c>
      <c r="F83">
        <v>0</v>
      </c>
    </row>
    <row r="84" spans="1:6" x14ac:dyDescent="0.35">
      <c r="A84" s="1">
        <v>44095</v>
      </c>
      <c r="B84" s="2"/>
      <c r="C84" s="2"/>
      <c r="D84" s="3">
        <v>0</v>
      </c>
      <c r="E84" s="19">
        <v>0</v>
      </c>
      <c r="F84">
        <v>0</v>
      </c>
    </row>
    <row r="85" spans="1:6" x14ac:dyDescent="0.35">
      <c r="A85" s="1">
        <v>44096</v>
      </c>
      <c r="B85" s="2"/>
      <c r="C85" s="2"/>
      <c r="D85" s="3">
        <v>0</v>
      </c>
      <c r="E85" s="19">
        <v>0</v>
      </c>
      <c r="F85">
        <v>0</v>
      </c>
    </row>
    <row r="86" spans="1:6" x14ac:dyDescent="0.35">
      <c r="A86" s="1">
        <v>44097</v>
      </c>
      <c r="B86" s="2"/>
      <c r="C86" s="2"/>
      <c r="D86" s="3">
        <v>0</v>
      </c>
      <c r="E86" s="19">
        <v>0</v>
      </c>
      <c r="F86">
        <v>0</v>
      </c>
    </row>
    <row r="87" spans="1:6" x14ac:dyDescent="0.35">
      <c r="A87" s="1">
        <v>44098</v>
      </c>
      <c r="B87" s="2"/>
      <c r="C87" s="2"/>
      <c r="D87" s="3">
        <v>0</v>
      </c>
      <c r="E87" s="19">
        <v>0</v>
      </c>
      <c r="F87">
        <v>0</v>
      </c>
    </row>
    <row r="88" spans="1:6" x14ac:dyDescent="0.35">
      <c r="A88" s="1">
        <v>44099</v>
      </c>
      <c r="B88" s="2"/>
      <c r="C88" s="2"/>
      <c r="D88" s="3">
        <v>0</v>
      </c>
      <c r="E88" s="19">
        <v>0</v>
      </c>
      <c r="F88">
        <v>0</v>
      </c>
    </row>
    <row r="89" spans="1:6" x14ac:dyDescent="0.35">
      <c r="A89" s="1">
        <v>44100</v>
      </c>
      <c r="B89" s="2"/>
      <c r="C89" s="2"/>
      <c r="D89" s="3">
        <v>0</v>
      </c>
      <c r="E89" s="19">
        <v>0</v>
      </c>
      <c r="F89">
        <v>0</v>
      </c>
    </row>
    <row r="90" spans="1:6" x14ac:dyDescent="0.35">
      <c r="A90" s="1">
        <v>44101</v>
      </c>
      <c r="B90" s="2"/>
      <c r="C90" s="2"/>
      <c r="D90" s="3">
        <v>0</v>
      </c>
      <c r="E90" s="19">
        <v>0</v>
      </c>
      <c r="F90">
        <v>0</v>
      </c>
    </row>
    <row r="91" spans="1:6" x14ac:dyDescent="0.35">
      <c r="A91" s="1">
        <v>44102</v>
      </c>
      <c r="B91" s="2"/>
      <c r="C91" s="2"/>
      <c r="D91" s="3">
        <v>0</v>
      </c>
      <c r="E91" s="19">
        <v>0</v>
      </c>
      <c r="F91">
        <v>0</v>
      </c>
    </row>
    <row r="92" spans="1:6" x14ac:dyDescent="0.35">
      <c r="A92" s="1">
        <v>44103</v>
      </c>
      <c r="B92" s="2"/>
      <c r="C92" s="2"/>
      <c r="D92" s="3">
        <v>0</v>
      </c>
      <c r="E92" s="19">
        <v>0</v>
      </c>
      <c r="F92">
        <v>0</v>
      </c>
    </row>
    <row r="93" spans="1:6" x14ac:dyDescent="0.35">
      <c r="A93" s="4">
        <v>44104</v>
      </c>
      <c r="B93" s="5"/>
      <c r="C93" s="2"/>
      <c r="D93" s="6">
        <v>0</v>
      </c>
      <c r="E93" s="20">
        <v>0</v>
      </c>
      <c r="F93">
        <v>0</v>
      </c>
    </row>
    <row r="94" spans="1:6" x14ac:dyDescent="0.35">
      <c r="A94" s="1">
        <v>44105</v>
      </c>
      <c r="B94" s="2"/>
      <c r="C94" s="14" t="s">
        <v>3</v>
      </c>
      <c r="D94" s="2">
        <f>MIN(L7,80000)</f>
        <v>870</v>
      </c>
      <c r="E94" s="21">
        <f>-D94*$L$8/30</f>
        <v>-116</v>
      </c>
      <c r="F94" s="2">
        <f>-E94</f>
        <v>116</v>
      </c>
    </row>
    <row r="95" spans="1:6" x14ac:dyDescent="0.35">
      <c r="A95" s="1">
        <v>44106</v>
      </c>
      <c r="B95" s="2"/>
      <c r="C95" s="2" t="s">
        <v>3</v>
      </c>
      <c r="D95" s="2">
        <f>MIN(D94+$L$7,80000)</f>
        <v>1740</v>
      </c>
      <c r="E95" s="21">
        <f t="shared" ref="E95:E158" si="0">-D95*$L$8/30</f>
        <v>-232</v>
      </c>
      <c r="F95" s="2">
        <f t="shared" ref="F95:F158" si="1">-E95</f>
        <v>232</v>
      </c>
    </row>
    <row r="96" spans="1:6" x14ac:dyDescent="0.35">
      <c r="A96" s="1">
        <v>44107</v>
      </c>
      <c r="B96" s="2"/>
      <c r="C96" s="2" t="s">
        <v>3</v>
      </c>
      <c r="D96" s="2">
        <f t="shared" ref="D96:D159" si="2">MIN(D95+$L$7,80000)</f>
        <v>2610</v>
      </c>
      <c r="E96" s="21">
        <f t="shared" si="0"/>
        <v>-348</v>
      </c>
      <c r="F96" s="2">
        <f t="shared" si="1"/>
        <v>348</v>
      </c>
    </row>
    <row r="97" spans="1:6" x14ac:dyDescent="0.35">
      <c r="A97" s="1">
        <v>44108</v>
      </c>
      <c r="B97" s="2"/>
      <c r="C97" s="2" t="s">
        <v>3</v>
      </c>
      <c r="D97" s="2">
        <f t="shared" si="2"/>
        <v>3480</v>
      </c>
      <c r="E97" s="21">
        <f t="shared" si="0"/>
        <v>-464</v>
      </c>
      <c r="F97" s="2">
        <f t="shared" si="1"/>
        <v>464</v>
      </c>
    </row>
    <row r="98" spans="1:6" x14ac:dyDescent="0.35">
      <c r="A98" s="1">
        <v>44109</v>
      </c>
      <c r="B98" s="2"/>
      <c r="C98" s="2" t="s">
        <v>3</v>
      </c>
      <c r="D98" s="2">
        <f t="shared" si="2"/>
        <v>4350</v>
      </c>
      <c r="E98" s="21">
        <f t="shared" si="0"/>
        <v>-580</v>
      </c>
      <c r="F98" s="2">
        <f t="shared" si="1"/>
        <v>580</v>
      </c>
    </row>
    <row r="99" spans="1:6" x14ac:dyDescent="0.35">
      <c r="A99" s="1">
        <v>44110</v>
      </c>
      <c r="B99" s="2"/>
      <c r="C99" s="2" t="s">
        <v>3</v>
      </c>
      <c r="D99" s="2">
        <f t="shared" si="2"/>
        <v>5220</v>
      </c>
      <c r="E99" s="21">
        <f t="shared" si="0"/>
        <v>-696</v>
      </c>
      <c r="F99" s="2">
        <f t="shared" si="1"/>
        <v>696</v>
      </c>
    </row>
    <row r="100" spans="1:6" x14ac:dyDescent="0.35">
      <c r="A100" s="1">
        <v>44111</v>
      </c>
      <c r="B100" s="2"/>
      <c r="C100" s="2" t="s">
        <v>3</v>
      </c>
      <c r="D100" s="2">
        <f t="shared" si="2"/>
        <v>6090</v>
      </c>
      <c r="E100" s="21">
        <f t="shared" si="0"/>
        <v>-812</v>
      </c>
      <c r="F100" s="2">
        <f t="shared" si="1"/>
        <v>812</v>
      </c>
    </row>
    <row r="101" spans="1:6" x14ac:dyDescent="0.35">
      <c r="A101" s="1">
        <v>44112</v>
      </c>
      <c r="B101" s="2"/>
      <c r="C101" s="2" t="s">
        <v>3</v>
      </c>
      <c r="D101" s="2">
        <f t="shared" si="2"/>
        <v>6960</v>
      </c>
      <c r="E101" s="21">
        <f t="shared" si="0"/>
        <v>-928</v>
      </c>
      <c r="F101" s="2">
        <f t="shared" si="1"/>
        <v>928</v>
      </c>
    </row>
    <row r="102" spans="1:6" x14ac:dyDescent="0.35">
      <c r="A102" s="1">
        <v>44113</v>
      </c>
      <c r="B102" s="2"/>
      <c r="C102" s="2" t="s">
        <v>3</v>
      </c>
      <c r="D102" s="2">
        <f t="shared" si="2"/>
        <v>7830</v>
      </c>
      <c r="E102" s="21">
        <f t="shared" si="0"/>
        <v>-1044</v>
      </c>
      <c r="F102" s="2">
        <f t="shared" si="1"/>
        <v>1044</v>
      </c>
    </row>
    <row r="103" spans="1:6" x14ac:dyDescent="0.35">
      <c r="A103" s="1">
        <v>44114</v>
      </c>
      <c r="B103" s="2"/>
      <c r="C103" s="2" t="s">
        <v>3</v>
      </c>
      <c r="D103" s="2">
        <f t="shared" si="2"/>
        <v>8700</v>
      </c>
      <c r="E103" s="21">
        <f t="shared" si="0"/>
        <v>-1160</v>
      </c>
      <c r="F103" s="2">
        <f t="shared" si="1"/>
        <v>1160</v>
      </c>
    </row>
    <row r="104" spans="1:6" x14ac:dyDescent="0.35">
      <c r="A104" s="1">
        <v>44115</v>
      </c>
      <c r="B104" s="2"/>
      <c r="C104" s="2" t="s">
        <v>3</v>
      </c>
      <c r="D104" s="2">
        <f>MIN(D103+$L$7,80000)</f>
        <v>9570</v>
      </c>
      <c r="E104" s="21">
        <f t="shared" si="0"/>
        <v>-1276</v>
      </c>
      <c r="F104" s="2">
        <f t="shared" si="1"/>
        <v>1276</v>
      </c>
    </row>
    <row r="105" spans="1:6" x14ac:dyDescent="0.35">
      <c r="A105" s="1">
        <v>44116</v>
      </c>
      <c r="B105" s="2"/>
      <c r="C105" s="2" t="s">
        <v>3</v>
      </c>
      <c r="D105" s="2">
        <f t="shared" si="2"/>
        <v>10440</v>
      </c>
      <c r="E105" s="21">
        <f t="shared" si="0"/>
        <v>-1392</v>
      </c>
      <c r="F105" s="2">
        <f t="shared" si="1"/>
        <v>1392</v>
      </c>
    </row>
    <row r="106" spans="1:6" x14ac:dyDescent="0.35">
      <c r="A106" s="1">
        <v>44117</v>
      </c>
      <c r="B106" s="2"/>
      <c r="C106" s="2" t="s">
        <v>3</v>
      </c>
      <c r="D106" s="2">
        <f t="shared" si="2"/>
        <v>11310</v>
      </c>
      <c r="E106" s="21">
        <f t="shared" si="0"/>
        <v>-1508</v>
      </c>
      <c r="F106" s="2">
        <f t="shared" si="1"/>
        <v>1508</v>
      </c>
    </row>
    <row r="107" spans="1:6" x14ac:dyDescent="0.35">
      <c r="A107" s="1">
        <v>44118</v>
      </c>
      <c r="B107" s="2"/>
      <c r="C107" s="2" t="s">
        <v>3</v>
      </c>
      <c r="D107" s="2">
        <f t="shared" si="2"/>
        <v>12180</v>
      </c>
      <c r="E107" s="21">
        <f t="shared" si="0"/>
        <v>-1624</v>
      </c>
      <c r="F107" s="2">
        <f t="shared" si="1"/>
        <v>1624</v>
      </c>
    </row>
    <row r="108" spans="1:6" x14ac:dyDescent="0.35">
      <c r="A108" s="1">
        <v>44119</v>
      </c>
      <c r="B108" s="2"/>
      <c r="C108" s="2" t="s">
        <v>3</v>
      </c>
      <c r="D108" s="2">
        <f t="shared" si="2"/>
        <v>13050</v>
      </c>
      <c r="E108" s="21">
        <f t="shared" si="0"/>
        <v>-1740</v>
      </c>
      <c r="F108" s="2">
        <f t="shared" si="1"/>
        <v>1740</v>
      </c>
    </row>
    <row r="109" spans="1:6" x14ac:dyDescent="0.35">
      <c r="A109" s="1">
        <v>44120</v>
      </c>
      <c r="B109" s="2"/>
      <c r="C109" s="2" t="s">
        <v>3</v>
      </c>
      <c r="D109" s="2">
        <f t="shared" si="2"/>
        <v>13920</v>
      </c>
      <c r="E109" s="21">
        <f t="shared" si="0"/>
        <v>-1856</v>
      </c>
      <c r="F109" s="2">
        <f t="shared" si="1"/>
        <v>1856</v>
      </c>
    </row>
    <row r="110" spans="1:6" x14ac:dyDescent="0.35">
      <c r="A110" s="1">
        <v>44121</v>
      </c>
      <c r="B110" s="2"/>
      <c r="C110" s="2" t="s">
        <v>3</v>
      </c>
      <c r="D110" s="2">
        <f t="shared" si="2"/>
        <v>14790</v>
      </c>
      <c r="E110" s="21">
        <f t="shared" si="0"/>
        <v>-1972</v>
      </c>
      <c r="F110" s="2">
        <f t="shared" si="1"/>
        <v>1972</v>
      </c>
    </row>
    <row r="111" spans="1:6" x14ac:dyDescent="0.35">
      <c r="A111" s="1">
        <v>44122</v>
      </c>
      <c r="B111" s="2"/>
      <c r="C111" s="2" t="s">
        <v>3</v>
      </c>
      <c r="D111" s="2">
        <f t="shared" si="2"/>
        <v>15660</v>
      </c>
      <c r="E111" s="21">
        <f t="shared" si="0"/>
        <v>-2088</v>
      </c>
      <c r="F111" s="2">
        <f t="shared" si="1"/>
        <v>2088</v>
      </c>
    </row>
    <row r="112" spans="1:6" x14ac:dyDescent="0.35">
      <c r="A112" s="1">
        <v>44123</v>
      </c>
      <c r="B112" s="2"/>
      <c r="C112" s="2" t="s">
        <v>3</v>
      </c>
      <c r="D112" s="2">
        <f t="shared" si="2"/>
        <v>16530</v>
      </c>
      <c r="E112" s="21">
        <f t="shared" si="0"/>
        <v>-2204</v>
      </c>
      <c r="F112" s="2">
        <f t="shared" si="1"/>
        <v>2204</v>
      </c>
    </row>
    <row r="113" spans="1:6" x14ac:dyDescent="0.35">
      <c r="A113" s="1">
        <v>44124</v>
      </c>
      <c r="B113" s="2"/>
      <c r="C113" s="2" t="s">
        <v>3</v>
      </c>
      <c r="D113" s="2">
        <f t="shared" si="2"/>
        <v>17400</v>
      </c>
      <c r="E113" s="21">
        <f t="shared" si="0"/>
        <v>-2320</v>
      </c>
      <c r="F113" s="2">
        <f t="shared" si="1"/>
        <v>2320</v>
      </c>
    </row>
    <row r="114" spans="1:6" x14ac:dyDescent="0.35">
      <c r="A114" s="1">
        <v>44125</v>
      </c>
      <c r="B114" s="2"/>
      <c r="C114" s="2" t="s">
        <v>3</v>
      </c>
      <c r="D114" s="2">
        <f t="shared" si="2"/>
        <v>18270</v>
      </c>
      <c r="E114" s="21">
        <f t="shared" si="0"/>
        <v>-2436</v>
      </c>
      <c r="F114" s="2">
        <f t="shared" si="1"/>
        <v>2436</v>
      </c>
    </row>
    <row r="115" spans="1:6" x14ac:dyDescent="0.35">
      <c r="A115" s="1">
        <v>44126</v>
      </c>
      <c r="B115" s="2"/>
      <c r="C115" s="2" t="s">
        <v>3</v>
      </c>
      <c r="D115" s="2">
        <f t="shared" si="2"/>
        <v>19140</v>
      </c>
      <c r="E115" s="21">
        <f t="shared" si="0"/>
        <v>-2552</v>
      </c>
      <c r="F115" s="2">
        <f t="shared" si="1"/>
        <v>2552</v>
      </c>
    </row>
    <row r="116" spans="1:6" x14ac:dyDescent="0.35">
      <c r="A116" s="1">
        <v>44127</v>
      </c>
      <c r="B116" s="2"/>
      <c r="C116" s="2" t="s">
        <v>3</v>
      </c>
      <c r="D116" s="2">
        <f t="shared" si="2"/>
        <v>20010</v>
      </c>
      <c r="E116" s="21">
        <f t="shared" si="0"/>
        <v>-2668</v>
      </c>
      <c r="F116" s="2">
        <f t="shared" si="1"/>
        <v>2668</v>
      </c>
    </row>
    <row r="117" spans="1:6" x14ac:dyDescent="0.35">
      <c r="A117" s="1">
        <v>44128</v>
      </c>
      <c r="B117" s="2"/>
      <c r="C117" s="2" t="s">
        <v>3</v>
      </c>
      <c r="D117" s="2">
        <f t="shared" si="2"/>
        <v>20880</v>
      </c>
      <c r="E117" s="21">
        <f t="shared" si="0"/>
        <v>-2784</v>
      </c>
      <c r="F117" s="2">
        <f t="shared" si="1"/>
        <v>2784</v>
      </c>
    </row>
    <row r="118" spans="1:6" x14ac:dyDescent="0.35">
      <c r="A118" s="1">
        <v>44129</v>
      </c>
      <c r="B118" s="2"/>
      <c r="C118" s="2" t="s">
        <v>3</v>
      </c>
      <c r="D118" s="2">
        <f t="shared" si="2"/>
        <v>21750</v>
      </c>
      <c r="E118" s="21">
        <f t="shared" si="0"/>
        <v>-2900</v>
      </c>
      <c r="F118" s="2">
        <f t="shared" si="1"/>
        <v>2900</v>
      </c>
    </row>
    <row r="119" spans="1:6" x14ac:dyDescent="0.35">
      <c r="A119" s="1">
        <v>44130</v>
      </c>
      <c r="B119" s="2"/>
      <c r="C119" s="2" t="s">
        <v>3</v>
      </c>
      <c r="D119" s="2">
        <f t="shared" si="2"/>
        <v>22620</v>
      </c>
      <c r="E119" s="21">
        <f t="shared" si="0"/>
        <v>-3016</v>
      </c>
      <c r="F119" s="2">
        <f t="shared" si="1"/>
        <v>3016</v>
      </c>
    </row>
    <row r="120" spans="1:6" x14ac:dyDescent="0.35">
      <c r="A120" s="1">
        <v>44131</v>
      </c>
      <c r="B120" s="2"/>
      <c r="C120" s="2" t="s">
        <v>3</v>
      </c>
      <c r="D120" s="2">
        <f t="shared" si="2"/>
        <v>23490</v>
      </c>
      <c r="E120" s="21">
        <f t="shared" si="0"/>
        <v>-3132</v>
      </c>
      <c r="F120" s="2">
        <f t="shared" si="1"/>
        <v>3132</v>
      </c>
    </row>
    <row r="121" spans="1:6" x14ac:dyDescent="0.35">
      <c r="A121" s="1">
        <v>44132</v>
      </c>
      <c r="B121" s="2"/>
      <c r="C121" s="2" t="s">
        <v>3</v>
      </c>
      <c r="D121" s="2">
        <f t="shared" si="2"/>
        <v>24360</v>
      </c>
      <c r="E121" s="21">
        <f t="shared" si="0"/>
        <v>-3248</v>
      </c>
      <c r="F121" s="2">
        <f t="shared" si="1"/>
        <v>3248</v>
      </c>
    </row>
    <row r="122" spans="1:6" x14ac:dyDescent="0.35">
      <c r="A122" s="1">
        <v>44133</v>
      </c>
      <c r="B122" s="2"/>
      <c r="C122" s="2" t="s">
        <v>3</v>
      </c>
      <c r="D122" s="2">
        <f t="shared" si="2"/>
        <v>25230</v>
      </c>
      <c r="E122" s="21">
        <f t="shared" si="0"/>
        <v>-3364</v>
      </c>
      <c r="F122" s="2">
        <f t="shared" si="1"/>
        <v>3364</v>
      </c>
    </row>
    <row r="123" spans="1:6" x14ac:dyDescent="0.35">
      <c r="A123" s="1">
        <v>44134</v>
      </c>
      <c r="B123" s="2"/>
      <c r="C123" s="2" t="s">
        <v>3</v>
      </c>
      <c r="D123" s="2">
        <f t="shared" si="2"/>
        <v>26100</v>
      </c>
      <c r="E123" s="21">
        <f t="shared" si="0"/>
        <v>-3480</v>
      </c>
      <c r="F123" s="2">
        <f t="shared" si="1"/>
        <v>3480</v>
      </c>
    </row>
    <row r="124" spans="1:6" x14ac:dyDescent="0.35">
      <c r="A124" s="1">
        <v>44135</v>
      </c>
      <c r="B124" s="2"/>
      <c r="C124" s="2" t="s">
        <v>3</v>
      </c>
      <c r="D124" s="2">
        <f t="shared" si="2"/>
        <v>26970</v>
      </c>
      <c r="E124" s="21">
        <f t="shared" si="0"/>
        <v>-3596</v>
      </c>
      <c r="F124" s="2">
        <f t="shared" si="1"/>
        <v>3596</v>
      </c>
    </row>
    <row r="125" spans="1:6" x14ac:dyDescent="0.35">
      <c r="A125" s="1">
        <v>44136</v>
      </c>
      <c r="B125" s="2"/>
      <c r="C125" s="2" t="s">
        <v>3</v>
      </c>
      <c r="D125" s="2">
        <f t="shared" si="2"/>
        <v>27840</v>
      </c>
      <c r="E125" s="21">
        <f t="shared" si="0"/>
        <v>-3712</v>
      </c>
      <c r="F125" s="2">
        <f t="shared" si="1"/>
        <v>3712</v>
      </c>
    </row>
    <row r="126" spans="1:6" x14ac:dyDescent="0.35">
      <c r="A126" s="1">
        <v>44137</v>
      </c>
      <c r="B126" s="2"/>
      <c r="C126" s="2" t="s">
        <v>3</v>
      </c>
      <c r="D126" s="2">
        <f t="shared" si="2"/>
        <v>28710</v>
      </c>
      <c r="E126" s="21">
        <f t="shared" si="0"/>
        <v>-3828</v>
      </c>
      <c r="F126" s="2">
        <f t="shared" si="1"/>
        <v>3828</v>
      </c>
    </row>
    <row r="127" spans="1:6" x14ac:dyDescent="0.35">
      <c r="A127" s="1">
        <v>44138</v>
      </c>
      <c r="B127" s="2"/>
      <c r="C127" s="2" t="s">
        <v>3</v>
      </c>
      <c r="D127" s="2">
        <f t="shared" si="2"/>
        <v>29580</v>
      </c>
      <c r="E127" s="21">
        <f t="shared" si="0"/>
        <v>-3944</v>
      </c>
      <c r="F127" s="2">
        <f t="shared" si="1"/>
        <v>3944</v>
      </c>
    </row>
    <row r="128" spans="1:6" x14ac:dyDescent="0.35">
      <c r="A128" s="1">
        <v>44139</v>
      </c>
      <c r="B128" s="2"/>
      <c r="C128" s="2" t="s">
        <v>3</v>
      </c>
      <c r="D128" s="2">
        <f t="shared" si="2"/>
        <v>30450</v>
      </c>
      <c r="E128" s="21">
        <f t="shared" si="0"/>
        <v>-4060</v>
      </c>
      <c r="F128" s="2">
        <f t="shared" si="1"/>
        <v>4060</v>
      </c>
    </row>
    <row r="129" spans="1:6" x14ac:dyDescent="0.35">
      <c r="A129" s="1">
        <v>44140</v>
      </c>
      <c r="B129" s="2"/>
      <c r="C129" s="2" t="s">
        <v>3</v>
      </c>
      <c r="D129" s="2">
        <f t="shared" si="2"/>
        <v>31320</v>
      </c>
      <c r="E129" s="21">
        <f t="shared" si="0"/>
        <v>-4176</v>
      </c>
      <c r="F129" s="2">
        <f t="shared" si="1"/>
        <v>4176</v>
      </c>
    </row>
    <row r="130" spans="1:6" x14ac:dyDescent="0.35">
      <c r="A130" s="1">
        <v>44141</v>
      </c>
      <c r="B130" s="2"/>
      <c r="C130" s="2" t="s">
        <v>3</v>
      </c>
      <c r="D130" s="2">
        <f t="shared" si="2"/>
        <v>32190</v>
      </c>
      <c r="E130" s="21">
        <f t="shared" si="0"/>
        <v>-4292</v>
      </c>
      <c r="F130" s="2">
        <f t="shared" si="1"/>
        <v>4292</v>
      </c>
    </row>
    <row r="131" spans="1:6" x14ac:dyDescent="0.35">
      <c r="A131" s="1">
        <v>44142</v>
      </c>
      <c r="B131" s="2"/>
      <c r="C131" s="2" t="s">
        <v>3</v>
      </c>
      <c r="D131" s="2">
        <f t="shared" si="2"/>
        <v>33060</v>
      </c>
      <c r="E131" s="21">
        <f t="shared" si="0"/>
        <v>-4408</v>
      </c>
      <c r="F131" s="2">
        <f t="shared" si="1"/>
        <v>4408</v>
      </c>
    </row>
    <row r="132" spans="1:6" x14ac:dyDescent="0.35">
      <c r="A132" s="1">
        <v>44143</v>
      </c>
      <c r="B132" s="2"/>
      <c r="C132" s="2" t="s">
        <v>3</v>
      </c>
      <c r="D132" s="2">
        <f t="shared" si="2"/>
        <v>33930</v>
      </c>
      <c r="E132" s="21">
        <f t="shared" si="0"/>
        <v>-4524</v>
      </c>
      <c r="F132" s="2">
        <f t="shared" si="1"/>
        <v>4524</v>
      </c>
    </row>
    <row r="133" spans="1:6" x14ac:dyDescent="0.35">
      <c r="A133" s="1">
        <v>44144</v>
      </c>
      <c r="B133" s="2"/>
      <c r="C133" s="2" t="s">
        <v>3</v>
      </c>
      <c r="D133" s="2">
        <f t="shared" si="2"/>
        <v>34800</v>
      </c>
      <c r="E133" s="21">
        <f t="shared" si="0"/>
        <v>-4640</v>
      </c>
      <c r="F133" s="2">
        <f t="shared" si="1"/>
        <v>4640</v>
      </c>
    </row>
    <row r="134" spans="1:6" x14ac:dyDescent="0.35">
      <c r="A134" s="1">
        <v>44145</v>
      </c>
      <c r="B134" s="2"/>
      <c r="C134" s="2" t="s">
        <v>3</v>
      </c>
      <c r="D134" s="2">
        <f t="shared" si="2"/>
        <v>35670</v>
      </c>
      <c r="E134" s="21">
        <f t="shared" si="0"/>
        <v>-4756</v>
      </c>
      <c r="F134" s="2">
        <f t="shared" si="1"/>
        <v>4756</v>
      </c>
    </row>
    <row r="135" spans="1:6" x14ac:dyDescent="0.35">
      <c r="A135" s="1">
        <v>44146</v>
      </c>
      <c r="B135" s="2"/>
      <c r="C135" s="2" t="s">
        <v>3</v>
      </c>
      <c r="D135" s="2">
        <f t="shared" si="2"/>
        <v>36540</v>
      </c>
      <c r="E135" s="21">
        <f t="shared" si="0"/>
        <v>-4872</v>
      </c>
      <c r="F135" s="2">
        <f t="shared" si="1"/>
        <v>4872</v>
      </c>
    </row>
    <row r="136" spans="1:6" x14ac:dyDescent="0.35">
      <c r="A136" s="1">
        <v>44147</v>
      </c>
      <c r="B136" s="2"/>
      <c r="C136" s="2" t="s">
        <v>3</v>
      </c>
      <c r="D136" s="2">
        <f t="shared" si="2"/>
        <v>37410</v>
      </c>
      <c r="E136" s="21">
        <f t="shared" si="0"/>
        <v>-4988</v>
      </c>
      <c r="F136" s="2">
        <f t="shared" si="1"/>
        <v>4988</v>
      </c>
    </row>
    <row r="137" spans="1:6" x14ac:dyDescent="0.35">
      <c r="A137" s="1">
        <v>44148</v>
      </c>
      <c r="B137" s="2"/>
      <c r="C137" s="2" t="s">
        <v>3</v>
      </c>
      <c r="D137" s="2">
        <f t="shared" si="2"/>
        <v>38280</v>
      </c>
      <c r="E137" s="21">
        <f t="shared" si="0"/>
        <v>-5104</v>
      </c>
      <c r="F137" s="2">
        <f t="shared" si="1"/>
        <v>5104</v>
      </c>
    </row>
    <row r="138" spans="1:6" x14ac:dyDescent="0.35">
      <c r="A138" s="1">
        <v>44149</v>
      </c>
      <c r="B138" s="2"/>
      <c r="C138" s="2" t="s">
        <v>3</v>
      </c>
      <c r="D138" s="2">
        <f t="shared" si="2"/>
        <v>39150</v>
      </c>
      <c r="E138" s="21">
        <f t="shared" si="0"/>
        <v>-5220</v>
      </c>
      <c r="F138" s="2">
        <f t="shared" si="1"/>
        <v>5220</v>
      </c>
    </row>
    <row r="139" spans="1:6" x14ac:dyDescent="0.35">
      <c r="A139" s="1">
        <v>44150</v>
      </c>
      <c r="B139" s="2"/>
      <c r="C139" s="2" t="s">
        <v>3</v>
      </c>
      <c r="D139" s="2">
        <f t="shared" si="2"/>
        <v>40020</v>
      </c>
      <c r="E139" s="21">
        <f t="shared" si="0"/>
        <v>-5336</v>
      </c>
      <c r="F139" s="2">
        <f t="shared" si="1"/>
        <v>5336</v>
      </c>
    </row>
    <row r="140" spans="1:6" x14ac:dyDescent="0.35">
      <c r="A140" s="1">
        <v>44151</v>
      </c>
      <c r="B140" s="2"/>
      <c r="C140" s="2" t="s">
        <v>3</v>
      </c>
      <c r="D140" s="2">
        <f t="shared" si="2"/>
        <v>40890</v>
      </c>
      <c r="E140" s="21">
        <f t="shared" si="0"/>
        <v>-5452</v>
      </c>
      <c r="F140" s="2">
        <f t="shared" si="1"/>
        <v>5452</v>
      </c>
    </row>
    <row r="141" spans="1:6" x14ac:dyDescent="0.35">
      <c r="A141" s="1">
        <v>44152</v>
      </c>
      <c r="B141" s="2"/>
      <c r="C141" s="2" t="s">
        <v>3</v>
      </c>
      <c r="D141" s="2">
        <f t="shared" si="2"/>
        <v>41760</v>
      </c>
      <c r="E141" s="21">
        <f t="shared" si="0"/>
        <v>-5568</v>
      </c>
      <c r="F141" s="2">
        <f t="shared" si="1"/>
        <v>5568</v>
      </c>
    </row>
    <row r="142" spans="1:6" x14ac:dyDescent="0.35">
      <c r="A142" s="1">
        <v>44153</v>
      </c>
      <c r="B142" s="2"/>
      <c r="C142" s="2" t="s">
        <v>3</v>
      </c>
      <c r="D142" s="2">
        <f t="shared" si="2"/>
        <v>42630</v>
      </c>
      <c r="E142" s="21">
        <f t="shared" si="0"/>
        <v>-5684</v>
      </c>
      <c r="F142" s="2">
        <f t="shared" si="1"/>
        <v>5684</v>
      </c>
    </row>
    <row r="143" spans="1:6" x14ac:dyDescent="0.35">
      <c r="A143" s="1">
        <v>44154</v>
      </c>
      <c r="B143" s="2"/>
      <c r="C143" s="2" t="s">
        <v>3</v>
      </c>
      <c r="D143" s="2">
        <f t="shared" si="2"/>
        <v>43500</v>
      </c>
      <c r="E143" s="21">
        <f t="shared" si="0"/>
        <v>-5800</v>
      </c>
      <c r="F143" s="2">
        <f t="shared" si="1"/>
        <v>5800</v>
      </c>
    </row>
    <row r="144" spans="1:6" x14ac:dyDescent="0.35">
      <c r="A144" s="1">
        <v>44155</v>
      </c>
      <c r="B144" s="2"/>
      <c r="C144" s="2" t="s">
        <v>3</v>
      </c>
      <c r="D144" s="2">
        <f t="shared" si="2"/>
        <v>44370</v>
      </c>
      <c r="E144" s="21">
        <f t="shared" si="0"/>
        <v>-5916</v>
      </c>
      <c r="F144" s="2">
        <f t="shared" si="1"/>
        <v>5916</v>
      </c>
    </row>
    <row r="145" spans="1:6" x14ac:dyDescent="0.35">
      <c r="A145" s="1">
        <v>44156</v>
      </c>
      <c r="B145" s="2"/>
      <c r="C145" s="2" t="s">
        <v>3</v>
      </c>
      <c r="D145" s="2">
        <f t="shared" si="2"/>
        <v>45240</v>
      </c>
      <c r="E145" s="21">
        <f t="shared" si="0"/>
        <v>-6032</v>
      </c>
      <c r="F145" s="2">
        <f t="shared" si="1"/>
        <v>6032</v>
      </c>
    </row>
    <row r="146" spans="1:6" x14ac:dyDescent="0.35">
      <c r="A146" s="1">
        <v>44157</v>
      </c>
      <c r="B146" s="2"/>
      <c r="C146" s="2" t="s">
        <v>3</v>
      </c>
      <c r="D146" s="2">
        <f t="shared" si="2"/>
        <v>46110</v>
      </c>
      <c r="E146" s="21">
        <f t="shared" si="0"/>
        <v>-6148</v>
      </c>
      <c r="F146" s="2">
        <f t="shared" si="1"/>
        <v>6148</v>
      </c>
    </row>
    <row r="147" spans="1:6" x14ac:dyDescent="0.35">
      <c r="A147" s="1">
        <v>44158</v>
      </c>
      <c r="B147" s="2"/>
      <c r="C147" s="2" t="s">
        <v>3</v>
      </c>
      <c r="D147" s="2">
        <f t="shared" si="2"/>
        <v>46980</v>
      </c>
      <c r="E147" s="21">
        <f t="shared" si="0"/>
        <v>-6264</v>
      </c>
      <c r="F147" s="2">
        <f t="shared" si="1"/>
        <v>6264</v>
      </c>
    </row>
    <row r="148" spans="1:6" x14ac:dyDescent="0.35">
      <c r="A148" s="1">
        <v>44159</v>
      </c>
      <c r="B148" s="2"/>
      <c r="C148" s="2" t="s">
        <v>3</v>
      </c>
      <c r="D148" s="2">
        <f t="shared" si="2"/>
        <v>47850</v>
      </c>
      <c r="E148" s="21">
        <f t="shared" si="0"/>
        <v>-6380</v>
      </c>
      <c r="F148" s="2">
        <f t="shared" si="1"/>
        <v>6380</v>
      </c>
    </row>
    <row r="149" spans="1:6" x14ac:dyDescent="0.35">
      <c r="A149" s="1">
        <v>44160</v>
      </c>
      <c r="B149" s="2"/>
      <c r="C149" s="2" t="s">
        <v>3</v>
      </c>
      <c r="D149" s="2">
        <f t="shared" si="2"/>
        <v>48720</v>
      </c>
      <c r="E149" s="21">
        <f t="shared" si="0"/>
        <v>-6496</v>
      </c>
      <c r="F149" s="2">
        <f t="shared" si="1"/>
        <v>6496</v>
      </c>
    </row>
    <row r="150" spans="1:6" x14ac:dyDescent="0.35">
      <c r="A150" s="1">
        <v>44161</v>
      </c>
      <c r="B150" s="2"/>
      <c r="C150" s="2" t="s">
        <v>3</v>
      </c>
      <c r="D150" s="2">
        <f t="shared" si="2"/>
        <v>49590</v>
      </c>
      <c r="E150" s="21">
        <f t="shared" si="0"/>
        <v>-6612</v>
      </c>
      <c r="F150" s="2">
        <f t="shared" si="1"/>
        <v>6612</v>
      </c>
    </row>
    <row r="151" spans="1:6" x14ac:dyDescent="0.35">
      <c r="A151" s="1">
        <v>44162</v>
      </c>
      <c r="B151" s="2"/>
      <c r="C151" s="2" t="s">
        <v>3</v>
      </c>
      <c r="D151" s="2">
        <f t="shared" si="2"/>
        <v>50460</v>
      </c>
      <c r="E151" s="21">
        <f t="shared" si="0"/>
        <v>-6728</v>
      </c>
      <c r="F151" s="2">
        <f t="shared" si="1"/>
        <v>6728</v>
      </c>
    </row>
    <row r="152" spans="1:6" x14ac:dyDescent="0.35">
      <c r="A152" s="1">
        <v>44163</v>
      </c>
      <c r="B152" s="2"/>
      <c r="C152" s="2" t="s">
        <v>3</v>
      </c>
      <c r="D152" s="2">
        <f t="shared" si="2"/>
        <v>51330</v>
      </c>
      <c r="E152" s="21">
        <f t="shared" si="0"/>
        <v>-6844</v>
      </c>
      <c r="F152" s="2">
        <f t="shared" si="1"/>
        <v>6844</v>
      </c>
    </row>
    <row r="153" spans="1:6" x14ac:dyDescent="0.35">
      <c r="A153" s="1">
        <v>44164</v>
      </c>
      <c r="B153" s="2"/>
      <c r="C153" s="2" t="s">
        <v>3</v>
      </c>
      <c r="D153" s="2">
        <f t="shared" si="2"/>
        <v>52200</v>
      </c>
      <c r="E153" s="21">
        <f t="shared" si="0"/>
        <v>-6960</v>
      </c>
      <c r="F153" s="2">
        <f t="shared" si="1"/>
        <v>6960</v>
      </c>
    </row>
    <row r="154" spans="1:6" x14ac:dyDescent="0.35">
      <c r="A154" s="1">
        <v>44165</v>
      </c>
      <c r="B154" s="2"/>
      <c r="C154" s="2" t="s">
        <v>3</v>
      </c>
      <c r="D154" s="2">
        <f t="shared" si="2"/>
        <v>53070</v>
      </c>
      <c r="E154" s="21">
        <f t="shared" si="0"/>
        <v>-7076</v>
      </c>
      <c r="F154" s="2">
        <f t="shared" si="1"/>
        <v>7076</v>
      </c>
    </row>
    <row r="155" spans="1:6" x14ac:dyDescent="0.35">
      <c r="A155" s="1">
        <v>44166</v>
      </c>
      <c r="B155" s="2"/>
      <c r="C155" s="2" t="s">
        <v>3</v>
      </c>
      <c r="D155" s="2">
        <f t="shared" si="2"/>
        <v>53940</v>
      </c>
      <c r="E155" s="21">
        <f t="shared" si="0"/>
        <v>-7192</v>
      </c>
      <c r="F155" s="2">
        <f t="shared" si="1"/>
        <v>7192</v>
      </c>
    </row>
    <row r="156" spans="1:6" x14ac:dyDescent="0.35">
      <c r="A156" s="1">
        <v>44167</v>
      </c>
      <c r="B156" s="2"/>
      <c r="C156" s="2" t="s">
        <v>3</v>
      </c>
      <c r="D156" s="2">
        <f t="shared" si="2"/>
        <v>54810</v>
      </c>
      <c r="E156" s="21">
        <f t="shared" si="0"/>
        <v>-7308</v>
      </c>
      <c r="F156" s="2">
        <f t="shared" si="1"/>
        <v>7308</v>
      </c>
    </row>
    <row r="157" spans="1:6" x14ac:dyDescent="0.35">
      <c r="A157" s="1">
        <v>44168</v>
      </c>
      <c r="B157" s="2"/>
      <c r="C157" s="2" t="s">
        <v>3</v>
      </c>
      <c r="D157" s="2">
        <f t="shared" si="2"/>
        <v>55680</v>
      </c>
      <c r="E157" s="21">
        <f t="shared" si="0"/>
        <v>-7424</v>
      </c>
      <c r="F157" s="2">
        <f t="shared" si="1"/>
        <v>7424</v>
      </c>
    </row>
    <row r="158" spans="1:6" x14ac:dyDescent="0.35">
      <c r="A158" s="1">
        <v>44169</v>
      </c>
      <c r="B158" s="2"/>
      <c r="C158" s="2" t="s">
        <v>3</v>
      </c>
      <c r="D158" s="2">
        <f t="shared" si="2"/>
        <v>56550</v>
      </c>
      <c r="E158" s="21">
        <f t="shared" si="0"/>
        <v>-7540</v>
      </c>
      <c r="F158" s="2">
        <f t="shared" si="1"/>
        <v>7540</v>
      </c>
    </row>
    <row r="159" spans="1:6" x14ac:dyDescent="0.35">
      <c r="A159" s="1">
        <v>44170</v>
      </c>
      <c r="B159" s="2"/>
      <c r="C159" s="2" t="s">
        <v>3</v>
      </c>
      <c r="D159" s="2">
        <f t="shared" si="2"/>
        <v>57420</v>
      </c>
      <c r="E159" s="21">
        <f t="shared" ref="E159:E185" si="3">-D159*$L$8/30</f>
        <v>-7656</v>
      </c>
      <c r="F159" s="2">
        <f t="shared" ref="F159:F185" si="4">-E159</f>
        <v>7656</v>
      </c>
    </row>
    <row r="160" spans="1:6" x14ac:dyDescent="0.35">
      <c r="A160" s="1">
        <v>44171</v>
      </c>
      <c r="B160" s="2"/>
      <c r="C160" s="2" t="s">
        <v>3</v>
      </c>
      <c r="D160" s="2">
        <f t="shared" ref="D160:D185" si="5">MIN(D159+$L$7,80000)</f>
        <v>58290</v>
      </c>
      <c r="E160" s="21">
        <f t="shared" si="3"/>
        <v>-7772</v>
      </c>
      <c r="F160" s="2">
        <f t="shared" si="4"/>
        <v>7772</v>
      </c>
    </row>
    <row r="161" spans="1:6" x14ac:dyDescent="0.35">
      <c r="A161" s="1">
        <v>44172</v>
      </c>
      <c r="B161" s="2"/>
      <c r="C161" s="2" t="s">
        <v>3</v>
      </c>
      <c r="D161" s="2">
        <f t="shared" si="5"/>
        <v>59160</v>
      </c>
      <c r="E161" s="21">
        <f t="shared" si="3"/>
        <v>-7888</v>
      </c>
      <c r="F161" s="2">
        <f t="shared" si="4"/>
        <v>7888</v>
      </c>
    </row>
    <row r="162" spans="1:6" x14ac:dyDescent="0.35">
      <c r="A162" s="1">
        <v>44173</v>
      </c>
      <c r="B162" s="2"/>
      <c r="C162" s="2" t="s">
        <v>3</v>
      </c>
      <c r="D162" s="2">
        <f t="shared" si="5"/>
        <v>60030</v>
      </c>
      <c r="E162" s="21">
        <f t="shared" si="3"/>
        <v>-8004</v>
      </c>
      <c r="F162" s="2">
        <f t="shared" si="4"/>
        <v>8004</v>
      </c>
    </row>
    <row r="163" spans="1:6" x14ac:dyDescent="0.35">
      <c r="A163" s="1">
        <v>44174</v>
      </c>
      <c r="B163" s="2"/>
      <c r="C163" s="2" t="s">
        <v>3</v>
      </c>
      <c r="D163" s="2">
        <f t="shared" si="5"/>
        <v>60900</v>
      </c>
      <c r="E163" s="21">
        <f t="shared" si="3"/>
        <v>-8120</v>
      </c>
      <c r="F163" s="2">
        <f t="shared" si="4"/>
        <v>8120</v>
      </c>
    </row>
    <row r="164" spans="1:6" x14ac:dyDescent="0.35">
      <c r="A164" s="1">
        <v>44175</v>
      </c>
      <c r="B164" s="2"/>
      <c r="C164" s="2" t="s">
        <v>3</v>
      </c>
      <c r="D164" s="2">
        <f t="shared" si="5"/>
        <v>61770</v>
      </c>
      <c r="E164" s="21">
        <f t="shared" si="3"/>
        <v>-8236</v>
      </c>
      <c r="F164" s="2">
        <f t="shared" si="4"/>
        <v>8236</v>
      </c>
    </row>
    <row r="165" spans="1:6" x14ac:dyDescent="0.35">
      <c r="A165" s="1">
        <v>44176</v>
      </c>
      <c r="B165" s="2"/>
      <c r="C165" s="2" t="s">
        <v>3</v>
      </c>
      <c r="D165" s="2">
        <f t="shared" si="5"/>
        <v>62640</v>
      </c>
      <c r="E165" s="21">
        <f t="shared" si="3"/>
        <v>-8352</v>
      </c>
      <c r="F165" s="2">
        <f t="shared" si="4"/>
        <v>8352</v>
      </c>
    </row>
    <row r="166" spans="1:6" x14ac:dyDescent="0.35">
      <c r="A166" s="1">
        <v>44177</v>
      </c>
      <c r="B166" s="2"/>
      <c r="C166" s="2" t="s">
        <v>3</v>
      </c>
      <c r="D166" s="2">
        <f t="shared" si="5"/>
        <v>63510</v>
      </c>
      <c r="E166" s="21">
        <f t="shared" si="3"/>
        <v>-8468</v>
      </c>
      <c r="F166" s="2">
        <f t="shared" si="4"/>
        <v>8468</v>
      </c>
    </row>
    <row r="167" spans="1:6" x14ac:dyDescent="0.35">
      <c r="A167" s="1">
        <v>44178</v>
      </c>
      <c r="B167" s="2"/>
      <c r="C167" s="2" t="s">
        <v>3</v>
      </c>
      <c r="D167" s="2">
        <f t="shared" si="5"/>
        <v>64380</v>
      </c>
      <c r="E167" s="21">
        <f t="shared" si="3"/>
        <v>-8584</v>
      </c>
      <c r="F167" s="2">
        <f t="shared" si="4"/>
        <v>8584</v>
      </c>
    </row>
    <row r="168" spans="1:6" x14ac:dyDescent="0.35">
      <c r="A168" s="1">
        <v>44179</v>
      </c>
      <c r="B168" s="2"/>
      <c r="C168" s="2" t="s">
        <v>3</v>
      </c>
      <c r="D168" s="2">
        <f t="shared" si="5"/>
        <v>65250</v>
      </c>
      <c r="E168" s="21">
        <f t="shared" si="3"/>
        <v>-8700</v>
      </c>
      <c r="F168" s="2">
        <f t="shared" si="4"/>
        <v>8700</v>
      </c>
    </row>
    <row r="169" spans="1:6" x14ac:dyDescent="0.35">
      <c r="A169" s="1">
        <v>44180</v>
      </c>
      <c r="B169" s="2"/>
      <c r="C169" s="2" t="s">
        <v>3</v>
      </c>
      <c r="D169" s="2">
        <f t="shared" si="5"/>
        <v>66120</v>
      </c>
      <c r="E169" s="21">
        <f t="shared" si="3"/>
        <v>-8816</v>
      </c>
      <c r="F169" s="2">
        <f t="shared" si="4"/>
        <v>8816</v>
      </c>
    </row>
    <row r="170" spans="1:6" x14ac:dyDescent="0.35">
      <c r="A170" s="1">
        <v>44181</v>
      </c>
      <c r="B170" s="2"/>
      <c r="C170" s="2" t="s">
        <v>3</v>
      </c>
      <c r="D170" s="2">
        <f t="shared" si="5"/>
        <v>66990</v>
      </c>
      <c r="E170" s="21">
        <f t="shared" si="3"/>
        <v>-8932</v>
      </c>
      <c r="F170" s="2">
        <f t="shared" si="4"/>
        <v>8932</v>
      </c>
    </row>
    <row r="171" spans="1:6" x14ac:dyDescent="0.35">
      <c r="A171" s="1">
        <v>44182</v>
      </c>
      <c r="B171" s="2"/>
      <c r="C171" s="2" t="s">
        <v>3</v>
      </c>
      <c r="D171" s="2">
        <f t="shared" si="5"/>
        <v>67860</v>
      </c>
      <c r="E171" s="21">
        <f t="shared" si="3"/>
        <v>-9048</v>
      </c>
      <c r="F171" s="2">
        <f t="shared" si="4"/>
        <v>9048</v>
      </c>
    </row>
    <row r="172" spans="1:6" x14ac:dyDescent="0.35">
      <c r="A172" s="1">
        <v>44183</v>
      </c>
      <c r="B172" s="2"/>
      <c r="C172" s="2" t="s">
        <v>3</v>
      </c>
      <c r="D172" s="2">
        <f t="shared" si="5"/>
        <v>68730</v>
      </c>
      <c r="E172" s="21">
        <f t="shared" si="3"/>
        <v>-9164</v>
      </c>
      <c r="F172" s="2">
        <f t="shared" si="4"/>
        <v>9164</v>
      </c>
    </row>
    <row r="173" spans="1:6" x14ac:dyDescent="0.35">
      <c r="A173" s="1">
        <v>44184</v>
      </c>
      <c r="B173" s="2"/>
      <c r="C173" s="2" t="s">
        <v>3</v>
      </c>
      <c r="D173" s="2">
        <f t="shared" si="5"/>
        <v>69600</v>
      </c>
      <c r="E173" s="21">
        <f t="shared" si="3"/>
        <v>-9280</v>
      </c>
      <c r="F173" s="2">
        <f t="shared" si="4"/>
        <v>9280</v>
      </c>
    </row>
    <row r="174" spans="1:6" x14ac:dyDescent="0.35">
      <c r="A174" s="1">
        <v>44185</v>
      </c>
      <c r="B174" s="2"/>
      <c r="C174" s="2" t="s">
        <v>3</v>
      </c>
      <c r="D174" s="2">
        <f t="shared" si="5"/>
        <v>70470</v>
      </c>
      <c r="E174" s="21">
        <f t="shared" si="3"/>
        <v>-9396</v>
      </c>
      <c r="F174" s="2">
        <f t="shared" si="4"/>
        <v>9396</v>
      </c>
    </row>
    <row r="175" spans="1:6" x14ac:dyDescent="0.35">
      <c r="A175" s="1">
        <v>44186</v>
      </c>
      <c r="B175" s="2"/>
      <c r="C175" s="2" t="s">
        <v>3</v>
      </c>
      <c r="D175" s="2">
        <f t="shared" si="5"/>
        <v>71340</v>
      </c>
      <c r="E175" s="21">
        <f t="shared" si="3"/>
        <v>-9512</v>
      </c>
      <c r="F175" s="2">
        <f t="shared" si="4"/>
        <v>9512</v>
      </c>
    </row>
    <row r="176" spans="1:6" x14ac:dyDescent="0.35">
      <c r="A176" s="1">
        <v>44187</v>
      </c>
      <c r="B176" s="2"/>
      <c r="C176" s="2" t="s">
        <v>3</v>
      </c>
      <c r="D176" s="2">
        <f t="shared" si="5"/>
        <v>72210</v>
      </c>
      <c r="E176" s="21">
        <f t="shared" si="3"/>
        <v>-9628</v>
      </c>
      <c r="F176" s="2">
        <f t="shared" si="4"/>
        <v>9628</v>
      </c>
    </row>
    <row r="177" spans="1:6" x14ac:dyDescent="0.35">
      <c r="A177" s="1">
        <v>44188</v>
      </c>
      <c r="B177" s="2"/>
      <c r="C177" s="2" t="s">
        <v>3</v>
      </c>
      <c r="D177" s="2">
        <f t="shared" si="5"/>
        <v>73080</v>
      </c>
      <c r="E177" s="21">
        <f t="shared" si="3"/>
        <v>-9744</v>
      </c>
      <c r="F177" s="2">
        <f t="shared" si="4"/>
        <v>9744</v>
      </c>
    </row>
    <row r="178" spans="1:6" x14ac:dyDescent="0.35">
      <c r="A178" s="1">
        <v>44189</v>
      </c>
      <c r="B178" s="2"/>
      <c r="C178" s="2" t="s">
        <v>3</v>
      </c>
      <c r="D178" s="2">
        <f t="shared" si="5"/>
        <v>73950</v>
      </c>
      <c r="E178" s="21">
        <f t="shared" si="3"/>
        <v>-9860</v>
      </c>
      <c r="F178" s="2">
        <f t="shared" si="4"/>
        <v>9860</v>
      </c>
    </row>
    <row r="179" spans="1:6" x14ac:dyDescent="0.35">
      <c r="A179" s="1">
        <v>44190</v>
      </c>
      <c r="B179" s="2"/>
      <c r="C179" s="2" t="s">
        <v>3</v>
      </c>
      <c r="D179" s="2">
        <f t="shared" si="5"/>
        <v>74820</v>
      </c>
      <c r="E179" s="21">
        <f t="shared" si="3"/>
        <v>-9976</v>
      </c>
      <c r="F179" s="2">
        <f t="shared" si="4"/>
        <v>9976</v>
      </c>
    </row>
    <row r="180" spans="1:6" x14ac:dyDescent="0.35">
      <c r="A180" s="1">
        <v>44191</v>
      </c>
      <c r="B180" s="2"/>
      <c r="C180" s="2" t="s">
        <v>3</v>
      </c>
      <c r="D180" s="2">
        <f t="shared" si="5"/>
        <v>75690</v>
      </c>
      <c r="E180" s="21">
        <f t="shared" si="3"/>
        <v>-10092</v>
      </c>
      <c r="F180" s="2">
        <f t="shared" si="4"/>
        <v>10092</v>
      </c>
    </row>
    <row r="181" spans="1:6" x14ac:dyDescent="0.35">
      <c r="A181" s="1">
        <v>44192</v>
      </c>
      <c r="B181" s="2"/>
      <c r="C181" s="2" t="s">
        <v>3</v>
      </c>
      <c r="D181" s="2">
        <f t="shared" si="5"/>
        <v>76560</v>
      </c>
      <c r="E181" s="21">
        <f t="shared" si="3"/>
        <v>-10208</v>
      </c>
      <c r="F181" s="2">
        <f t="shared" si="4"/>
        <v>10208</v>
      </c>
    </row>
    <row r="182" spans="1:6" x14ac:dyDescent="0.35">
      <c r="A182" s="1">
        <v>44193</v>
      </c>
      <c r="B182" s="2"/>
      <c r="C182" s="2" t="s">
        <v>3</v>
      </c>
      <c r="D182" s="2">
        <f t="shared" si="5"/>
        <v>77430</v>
      </c>
      <c r="E182" s="21">
        <f t="shared" si="3"/>
        <v>-10324</v>
      </c>
      <c r="F182" s="2">
        <f t="shared" si="4"/>
        <v>10324</v>
      </c>
    </row>
    <row r="183" spans="1:6" x14ac:dyDescent="0.35">
      <c r="A183" s="1">
        <v>44194</v>
      </c>
      <c r="B183" s="2"/>
      <c r="C183" s="2" t="s">
        <v>3</v>
      </c>
      <c r="D183" s="2">
        <f t="shared" si="5"/>
        <v>78300</v>
      </c>
      <c r="E183" s="21">
        <f t="shared" si="3"/>
        <v>-10440</v>
      </c>
      <c r="F183" s="2">
        <f t="shared" si="4"/>
        <v>10440</v>
      </c>
    </row>
    <row r="184" spans="1:6" x14ac:dyDescent="0.35">
      <c r="A184" s="1">
        <v>44195</v>
      </c>
      <c r="B184" s="2"/>
      <c r="C184" s="2" t="s">
        <v>3</v>
      </c>
      <c r="D184" s="2">
        <f t="shared" si="5"/>
        <v>79170</v>
      </c>
      <c r="E184" s="21">
        <f t="shared" si="3"/>
        <v>-10556</v>
      </c>
      <c r="F184" s="2">
        <f t="shared" si="4"/>
        <v>10556</v>
      </c>
    </row>
    <row r="185" spans="1:6" x14ac:dyDescent="0.35">
      <c r="A185" s="1">
        <v>44196</v>
      </c>
      <c r="B185" s="2"/>
      <c r="C185" s="2" t="s">
        <v>3</v>
      </c>
      <c r="D185" s="2">
        <f t="shared" si="5"/>
        <v>80000</v>
      </c>
      <c r="E185" s="21">
        <f t="shared" si="3"/>
        <v>-10666.666666666666</v>
      </c>
      <c r="F185" s="2">
        <f t="shared" si="4"/>
        <v>10666.666666666666</v>
      </c>
    </row>
    <row r="186" spans="1:6" x14ac:dyDescent="0.35">
      <c r="A186" s="1">
        <v>44197</v>
      </c>
      <c r="B186" s="2"/>
      <c r="C186" s="2" t="s">
        <v>4</v>
      </c>
      <c r="D186" s="2">
        <f>MAX(D185-$L$6,0)</f>
        <v>79110</v>
      </c>
      <c r="E186" s="21">
        <f>(D185-D186)*$J$20</f>
        <v>125579</v>
      </c>
      <c r="F186" s="2">
        <v>0</v>
      </c>
    </row>
    <row r="187" spans="1:6" x14ac:dyDescent="0.35">
      <c r="A187" s="1">
        <v>44198</v>
      </c>
      <c r="B187" s="2"/>
      <c r="C187" s="2" t="s">
        <v>4</v>
      </c>
      <c r="D187" s="2">
        <f t="shared" ref="D187:D250" si="6">MAX(D186-$L$6,0)</f>
        <v>78220</v>
      </c>
      <c r="E187" s="21">
        <f t="shared" ref="E187:E216" si="7">(D186-D187)*$J$19</f>
        <v>126380</v>
      </c>
      <c r="F187" s="2">
        <v>0</v>
      </c>
    </row>
    <row r="188" spans="1:6" x14ac:dyDescent="0.35">
      <c r="A188" s="1">
        <v>44199</v>
      </c>
      <c r="B188" s="2"/>
      <c r="C188" s="2" t="s">
        <v>4</v>
      </c>
      <c r="D188" s="2">
        <f t="shared" si="6"/>
        <v>77330</v>
      </c>
      <c r="E188" s="21">
        <f t="shared" si="7"/>
        <v>126380</v>
      </c>
      <c r="F188" s="2">
        <v>0</v>
      </c>
    </row>
    <row r="189" spans="1:6" x14ac:dyDescent="0.35">
      <c r="A189" s="1">
        <v>44200</v>
      </c>
      <c r="B189" s="2"/>
      <c r="C189" s="2" t="s">
        <v>4</v>
      </c>
      <c r="D189" s="2">
        <f t="shared" si="6"/>
        <v>76440</v>
      </c>
      <c r="E189" s="21">
        <f t="shared" si="7"/>
        <v>126380</v>
      </c>
      <c r="F189" s="2">
        <v>0</v>
      </c>
    </row>
    <row r="190" spans="1:6" x14ac:dyDescent="0.35">
      <c r="A190" s="1">
        <v>44201</v>
      </c>
      <c r="B190" s="2"/>
      <c r="C190" s="2" t="s">
        <v>4</v>
      </c>
      <c r="D190" s="2">
        <f t="shared" si="6"/>
        <v>75550</v>
      </c>
      <c r="E190" s="21">
        <f t="shared" si="7"/>
        <v>126380</v>
      </c>
      <c r="F190" s="2">
        <v>0</v>
      </c>
    </row>
    <row r="191" spans="1:6" x14ac:dyDescent="0.35">
      <c r="A191" s="1">
        <v>44202</v>
      </c>
      <c r="B191" s="2"/>
      <c r="C191" s="2" t="s">
        <v>4</v>
      </c>
      <c r="D191" s="2">
        <f t="shared" si="6"/>
        <v>74660</v>
      </c>
      <c r="E191" s="21">
        <f t="shared" si="7"/>
        <v>126380</v>
      </c>
      <c r="F191" s="2">
        <v>0</v>
      </c>
    </row>
    <row r="192" spans="1:6" x14ac:dyDescent="0.35">
      <c r="A192" s="1">
        <v>44203</v>
      </c>
      <c r="B192" s="2"/>
      <c r="C192" s="2" t="s">
        <v>4</v>
      </c>
      <c r="D192" s="2">
        <f t="shared" si="6"/>
        <v>73770</v>
      </c>
      <c r="E192" s="21">
        <f t="shared" si="7"/>
        <v>126380</v>
      </c>
      <c r="F192" s="2">
        <v>0</v>
      </c>
    </row>
    <row r="193" spans="1:6" x14ac:dyDescent="0.35">
      <c r="A193" s="1">
        <v>44204</v>
      </c>
      <c r="B193" s="2"/>
      <c r="C193" s="2" t="s">
        <v>4</v>
      </c>
      <c r="D193" s="2">
        <f t="shared" si="6"/>
        <v>72880</v>
      </c>
      <c r="E193" s="21">
        <f t="shared" si="7"/>
        <v>126380</v>
      </c>
      <c r="F193" s="2">
        <v>0</v>
      </c>
    </row>
    <row r="194" spans="1:6" x14ac:dyDescent="0.35">
      <c r="A194" s="1">
        <v>44205</v>
      </c>
      <c r="B194" s="2"/>
      <c r="C194" s="2" t="s">
        <v>4</v>
      </c>
      <c r="D194" s="2">
        <f t="shared" si="6"/>
        <v>71990</v>
      </c>
      <c r="E194" s="21">
        <f t="shared" si="7"/>
        <v>126380</v>
      </c>
      <c r="F194" s="2">
        <v>0</v>
      </c>
    </row>
    <row r="195" spans="1:6" x14ac:dyDescent="0.35">
      <c r="A195" s="1">
        <v>44206</v>
      </c>
      <c r="B195" s="2"/>
      <c r="C195" s="2" t="s">
        <v>4</v>
      </c>
      <c r="D195" s="2">
        <f t="shared" si="6"/>
        <v>71100</v>
      </c>
      <c r="E195" s="21">
        <f t="shared" si="7"/>
        <v>126380</v>
      </c>
      <c r="F195" s="2">
        <v>0</v>
      </c>
    </row>
    <row r="196" spans="1:6" x14ac:dyDescent="0.35">
      <c r="A196" s="1">
        <v>44207</v>
      </c>
      <c r="B196" s="2"/>
      <c r="C196" s="2" t="s">
        <v>4</v>
      </c>
      <c r="D196" s="2">
        <f t="shared" si="6"/>
        <v>70210</v>
      </c>
      <c r="E196" s="21">
        <f t="shared" si="7"/>
        <v>126380</v>
      </c>
      <c r="F196" s="2">
        <v>0</v>
      </c>
    </row>
    <row r="197" spans="1:6" x14ac:dyDescent="0.35">
      <c r="A197" s="1">
        <v>44208</v>
      </c>
      <c r="B197" s="2"/>
      <c r="C197" s="2" t="s">
        <v>4</v>
      </c>
      <c r="D197" s="2">
        <f t="shared" si="6"/>
        <v>69320</v>
      </c>
      <c r="E197" s="21">
        <f t="shared" si="7"/>
        <v>126380</v>
      </c>
      <c r="F197" s="2">
        <v>0</v>
      </c>
    </row>
    <row r="198" spans="1:6" x14ac:dyDescent="0.35">
      <c r="A198" s="1">
        <v>44209</v>
      </c>
      <c r="B198" s="2"/>
      <c r="C198" s="2" t="s">
        <v>4</v>
      </c>
      <c r="D198" s="2">
        <f t="shared" si="6"/>
        <v>68430</v>
      </c>
      <c r="E198" s="21">
        <f t="shared" si="7"/>
        <v>126380</v>
      </c>
      <c r="F198" s="2">
        <v>0</v>
      </c>
    </row>
    <row r="199" spans="1:6" x14ac:dyDescent="0.35">
      <c r="A199" s="1">
        <v>44210</v>
      </c>
      <c r="B199" s="2"/>
      <c r="C199" s="2" t="s">
        <v>4</v>
      </c>
      <c r="D199" s="2">
        <f t="shared" si="6"/>
        <v>67540</v>
      </c>
      <c r="E199" s="21">
        <f t="shared" si="7"/>
        <v>126380</v>
      </c>
      <c r="F199" s="2">
        <v>0</v>
      </c>
    </row>
    <row r="200" spans="1:6" x14ac:dyDescent="0.35">
      <c r="A200" s="1">
        <v>44211</v>
      </c>
      <c r="B200" s="2"/>
      <c r="C200" s="2" t="s">
        <v>4</v>
      </c>
      <c r="D200" s="2">
        <f t="shared" si="6"/>
        <v>66650</v>
      </c>
      <c r="E200" s="21">
        <f t="shared" si="7"/>
        <v>126380</v>
      </c>
      <c r="F200" s="2">
        <v>0</v>
      </c>
    </row>
    <row r="201" spans="1:6" x14ac:dyDescent="0.35">
      <c r="A201" s="1">
        <v>44212</v>
      </c>
      <c r="B201" s="2"/>
      <c r="C201" s="2" t="s">
        <v>4</v>
      </c>
      <c r="D201" s="2">
        <f t="shared" si="6"/>
        <v>65760</v>
      </c>
      <c r="E201" s="21">
        <f t="shared" si="7"/>
        <v>126380</v>
      </c>
      <c r="F201" s="2">
        <v>0</v>
      </c>
    </row>
    <row r="202" spans="1:6" x14ac:dyDescent="0.35">
      <c r="A202" s="1">
        <v>44213</v>
      </c>
      <c r="B202" s="2"/>
      <c r="C202" s="2" t="s">
        <v>4</v>
      </c>
      <c r="D202" s="2">
        <f t="shared" si="6"/>
        <v>64870</v>
      </c>
      <c r="E202" s="21">
        <f t="shared" si="7"/>
        <v>126380</v>
      </c>
      <c r="F202" s="2">
        <v>0</v>
      </c>
    </row>
    <row r="203" spans="1:6" x14ac:dyDescent="0.35">
      <c r="A203" s="1">
        <v>44214</v>
      </c>
      <c r="B203" s="2"/>
      <c r="C203" s="2" t="s">
        <v>4</v>
      </c>
      <c r="D203" s="2">
        <f t="shared" si="6"/>
        <v>63980</v>
      </c>
      <c r="E203" s="21">
        <f t="shared" si="7"/>
        <v>126380</v>
      </c>
      <c r="F203" s="2">
        <v>0</v>
      </c>
    </row>
    <row r="204" spans="1:6" x14ac:dyDescent="0.35">
      <c r="A204" s="1">
        <v>44215</v>
      </c>
      <c r="B204" s="2"/>
      <c r="C204" s="2" t="s">
        <v>4</v>
      </c>
      <c r="D204" s="2">
        <f t="shared" si="6"/>
        <v>63090</v>
      </c>
      <c r="E204" s="21">
        <f t="shared" si="7"/>
        <v>126380</v>
      </c>
      <c r="F204" s="2">
        <v>0</v>
      </c>
    </row>
    <row r="205" spans="1:6" x14ac:dyDescent="0.35">
      <c r="A205" s="1">
        <v>44216</v>
      </c>
      <c r="B205" s="2"/>
      <c r="C205" s="2" t="s">
        <v>4</v>
      </c>
      <c r="D205" s="2">
        <f t="shared" si="6"/>
        <v>62200</v>
      </c>
      <c r="E205" s="21">
        <f t="shared" si="7"/>
        <v>126380</v>
      </c>
      <c r="F205" s="2">
        <v>0</v>
      </c>
    </row>
    <row r="206" spans="1:6" x14ac:dyDescent="0.35">
      <c r="A206" s="1">
        <v>44217</v>
      </c>
      <c r="B206" s="2"/>
      <c r="C206" s="2" t="s">
        <v>4</v>
      </c>
      <c r="D206" s="2">
        <f t="shared" si="6"/>
        <v>61310</v>
      </c>
      <c r="E206" s="21">
        <f t="shared" si="7"/>
        <v>126380</v>
      </c>
      <c r="F206" s="2">
        <v>0</v>
      </c>
    </row>
    <row r="207" spans="1:6" x14ac:dyDescent="0.35">
      <c r="A207" s="1">
        <v>44218</v>
      </c>
      <c r="B207" s="2"/>
      <c r="C207" s="2" t="s">
        <v>4</v>
      </c>
      <c r="D207" s="2">
        <f t="shared" si="6"/>
        <v>60420</v>
      </c>
      <c r="E207" s="21">
        <f t="shared" si="7"/>
        <v>126380</v>
      </c>
      <c r="F207" s="2">
        <v>0</v>
      </c>
    </row>
    <row r="208" spans="1:6" x14ac:dyDescent="0.35">
      <c r="A208" s="1">
        <v>44219</v>
      </c>
      <c r="B208" s="2"/>
      <c r="C208" s="2" t="s">
        <v>4</v>
      </c>
      <c r="D208" s="2">
        <f t="shared" si="6"/>
        <v>59530</v>
      </c>
      <c r="E208" s="21">
        <f t="shared" si="7"/>
        <v>126380</v>
      </c>
      <c r="F208" s="2">
        <v>0</v>
      </c>
    </row>
    <row r="209" spans="1:6" x14ac:dyDescent="0.35">
      <c r="A209" s="1">
        <v>44220</v>
      </c>
      <c r="B209" s="2"/>
      <c r="C209" s="2" t="s">
        <v>4</v>
      </c>
      <c r="D209" s="2">
        <f t="shared" si="6"/>
        <v>58640</v>
      </c>
      <c r="E209" s="21">
        <f t="shared" si="7"/>
        <v>126380</v>
      </c>
      <c r="F209" s="2">
        <v>0</v>
      </c>
    </row>
    <row r="210" spans="1:6" x14ac:dyDescent="0.35">
      <c r="A210" s="1">
        <v>44221</v>
      </c>
      <c r="B210" s="2"/>
      <c r="C210" s="2" t="s">
        <v>4</v>
      </c>
      <c r="D210" s="2">
        <f t="shared" si="6"/>
        <v>57750</v>
      </c>
      <c r="E210" s="21">
        <f t="shared" si="7"/>
        <v>126380</v>
      </c>
      <c r="F210" s="2">
        <v>0</v>
      </c>
    </row>
    <row r="211" spans="1:6" x14ac:dyDescent="0.35">
      <c r="A211" s="1">
        <v>44222</v>
      </c>
      <c r="B211" s="2"/>
      <c r="C211" s="2" t="s">
        <v>4</v>
      </c>
      <c r="D211" s="2">
        <f t="shared" si="6"/>
        <v>56860</v>
      </c>
      <c r="E211" s="21">
        <f t="shared" si="7"/>
        <v>126380</v>
      </c>
      <c r="F211" s="2">
        <v>0</v>
      </c>
    </row>
    <row r="212" spans="1:6" x14ac:dyDescent="0.35">
      <c r="A212" s="1">
        <v>44223</v>
      </c>
      <c r="B212" s="2"/>
      <c r="C212" s="2" t="s">
        <v>4</v>
      </c>
      <c r="D212" s="2">
        <f t="shared" si="6"/>
        <v>55970</v>
      </c>
      <c r="E212" s="21">
        <f t="shared" si="7"/>
        <v>126380</v>
      </c>
      <c r="F212" s="2">
        <v>0</v>
      </c>
    </row>
    <row r="213" spans="1:6" x14ac:dyDescent="0.35">
      <c r="A213" s="1">
        <v>44224</v>
      </c>
      <c r="B213" s="2"/>
      <c r="C213" s="2" t="s">
        <v>4</v>
      </c>
      <c r="D213" s="2">
        <f t="shared" si="6"/>
        <v>55080</v>
      </c>
      <c r="E213" s="21">
        <f t="shared" si="7"/>
        <v>126380</v>
      </c>
      <c r="F213" s="2">
        <v>0</v>
      </c>
    </row>
    <row r="214" spans="1:6" x14ac:dyDescent="0.35">
      <c r="A214" s="1">
        <v>44225</v>
      </c>
      <c r="B214" s="2"/>
      <c r="C214" s="2" t="s">
        <v>4</v>
      </c>
      <c r="D214" s="2">
        <f t="shared" si="6"/>
        <v>54190</v>
      </c>
      <c r="E214" s="21">
        <f t="shared" si="7"/>
        <v>126380</v>
      </c>
      <c r="F214" s="2">
        <v>0</v>
      </c>
    </row>
    <row r="215" spans="1:6" x14ac:dyDescent="0.35">
      <c r="A215" s="1">
        <v>44226</v>
      </c>
      <c r="B215" s="2"/>
      <c r="C215" s="2" t="s">
        <v>4</v>
      </c>
      <c r="D215" s="2">
        <f t="shared" si="6"/>
        <v>53300</v>
      </c>
      <c r="E215" s="21">
        <f t="shared" si="7"/>
        <v>126380</v>
      </c>
      <c r="F215" s="2">
        <v>0</v>
      </c>
    </row>
    <row r="216" spans="1:6" x14ac:dyDescent="0.35">
      <c r="A216" s="1">
        <v>44227</v>
      </c>
      <c r="B216" s="2"/>
      <c r="C216" s="2" t="s">
        <v>4</v>
      </c>
      <c r="D216" s="2">
        <f t="shared" si="6"/>
        <v>52410</v>
      </c>
      <c r="E216" s="21">
        <f t="shared" si="7"/>
        <v>126380</v>
      </c>
      <c r="F216" s="2">
        <v>0</v>
      </c>
    </row>
    <row r="217" spans="1:6" x14ac:dyDescent="0.35">
      <c r="A217" s="1">
        <v>44228</v>
      </c>
      <c r="B217" s="2"/>
      <c r="C217" s="2" t="s">
        <v>4</v>
      </c>
      <c r="D217" s="2">
        <f t="shared" si="6"/>
        <v>51520</v>
      </c>
      <c r="E217" s="21">
        <f>(D216-D217)*$J$20</f>
        <v>125579</v>
      </c>
      <c r="F217" s="2">
        <v>0</v>
      </c>
    </row>
    <row r="218" spans="1:6" x14ac:dyDescent="0.35">
      <c r="A218" s="1">
        <v>44229</v>
      </c>
      <c r="B218" s="2"/>
      <c r="C218" s="2" t="s">
        <v>4</v>
      </c>
      <c r="D218" s="2">
        <f t="shared" si="6"/>
        <v>50630</v>
      </c>
      <c r="E218" s="21">
        <f t="shared" ref="E218:E274" si="8">(D217-D218)*$J$20</f>
        <v>125579</v>
      </c>
      <c r="F218" s="2">
        <v>0</v>
      </c>
    </row>
    <row r="219" spans="1:6" x14ac:dyDescent="0.35">
      <c r="A219" s="1">
        <v>44230</v>
      </c>
      <c r="B219" s="2"/>
      <c r="C219" s="2" t="s">
        <v>4</v>
      </c>
      <c r="D219" s="2">
        <f t="shared" si="6"/>
        <v>49740</v>
      </c>
      <c r="E219" s="21">
        <f t="shared" si="8"/>
        <v>125579</v>
      </c>
      <c r="F219" s="2">
        <v>0</v>
      </c>
    </row>
    <row r="220" spans="1:6" x14ac:dyDescent="0.35">
      <c r="A220" s="1">
        <v>44231</v>
      </c>
      <c r="B220" s="2"/>
      <c r="C220" s="2" t="s">
        <v>4</v>
      </c>
      <c r="D220" s="2">
        <f t="shared" si="6"/>
        <v>48850</v>
      </c>
      <c r="E220" s="21">
        <f t="shared" si="8"/>
        <v>125579</v>
      </c>
      <c r="F220" s="2">
        <v>0</v>
      </c>
    </row>
    <row r="221" spans="1:6" x14ac:dyDescent="0.35">
      <c r="A221" s="1">
        <v>44232</v>
      </c>
      <c r="B221" s="2"/>
      <c r="C221" s="2" t="s">
        <v>4</v>
      </c>
      <c r="D221" s="2">
        <f t="shared" si="6"/>
        <v>47960</v>
      </c>
      <c r="E221" s="21">
        <f t="shared" si="8"/>
        <v>125579</v>
      </c>
      <c r="F221" s="2">
        <v>0</v>
      </c>
    </row>
    <row r="222" spans="1:6" x14ac:dyDescent="0.35">
      <c r="A222" s="1">
        <v>44233</v>
      </c>
      <c r="B222" s="2"/>
      <c r="C222" s="2" t="s">
        <v>4</v>
      </c>
      <c r="D222" s="2">
        <f t="shared" si="6"/>
        <v>47070</v>
      </c>
      <c r="E222" s="21">
        <f t="shared" si="8"/>
        <v>125579</v>
      </c>
      <c r="F222" s="2">
        <v>0</v>
      </c>
    </row>
    <row r="223" spans="1:6" x14ac:dyDescent="0.35">
      <c r="A223" s="1">
        <v>44234</v>
      </c>
      <c r="B223" s="2"/>
      <c r="C223" s="2" t="s">
        <v>4</v>
      </c>
      <c r="D223" s="2">
        <f t="shared" si="6"/>
        <v>46180</v>
      </c>
      <c r="E223" s="21">
        <f t="shared" si="8"/>
        <v>125579</v>
      </c>
      <c r="F223" s="2">
        <v>0</v>
      </c>
    </row>
    <row r="224" spans="1:6" x14ac:dyDescent="0.35">
      <c r="A224" s="1">
        <v>44235</v>
      </c>
      <c r="B224" s="2"/>
      <c r="C224" s="2" t="s">
        <v>4</v>
      </c>
      <c r="D224" s="2">
        <f t="shared" si="6"/>
        <v>45290</v>
      </c>
      <c r="E224" s="21">
        <f t="shared" si="8"/>
        <v>125579</v>
      </c>
      <c r="F224" s="2">
        <v>0</v>
      </c>
    </row>
    <row r="225" spans="1:6" x14ac:dyDescent="0.35">
      <c r="A225" s="1">
        <v>44236</v>
      </c>
      <c r="B225" s="2"/>
      <c r="C225" s="2" t="s">
        <v>4</v>
      </c>
      <c r="D225" s="2">
        <f t="shared" si="6"/>
        <v>44400</v>
      </c>
      <c r="E225" s="21">
        <f t="shared" si="8"/>
        <v>125579</v>
      </c>
      <c r="F225" s="2">
        <v>0</v>
      </c>
    </row>
    <row r="226" spans="1:6" x14ac:dyDescent="0.35">
      <c r="A226" s="1">
        <v>44237</v>
      </c>
      <c r="B226" s="2"/>
      <c r="C226" s="2" t="s">
        <v>4</v>
      </c>
      <c r="D226" s="2">
        <f t="shared" si="6"/>
        <v>43510</v>
      </c>
      <c r="E226" s="21">
        <f t="shared" si="8"/>
        <v>125579</v>
      </c>
      <c r="F226" s="2">
        <v>0</v>
      </c>
    </row>
    <row r="227" spans="1:6" x14ac:dyDescent="0.35">
      <c r="A227" s="1">
        <v>44238</v>
      </c>
      <c r="B227" s="2"/>
      <c r="C227" s="2" t="s">
        <v>4</v>
      </c>
      <c r="D227" s="2">
        <f t="shared" si="6"/>
        <v>42620</v>
      </c>
      <c r="E227" s="21">
        <f t="shared" si="8"/>
        <v>125579</v>
      </c>
      <c r="F227" s="2">
        <v>0</v>
      </c>
    </row>
    <row r="228" spans="1:6" x14ac:dyDescent="0.35">
      <c r="A228" s="1">
        <v>44239</v>
      </c>
      <c r="B228" s="2"/>
      <c r="C228" s="2" t="s">
        <v>4</v>
      </c>
      <c r="D228" s="2">
        <f t="shared" si="6"/>
        <v>41730</v>
      </c>
      <c r="E228" s="21">
        <f t="shared" si="8"/>
        <v>125579</v>
      </c>
      <c r="F228" s="2">
        <v>0</v>
      </c>
    </row>
    <row r="229" spans="1:6" x14ac:dyDescent="0.35">
      <c r="A229" s="1">
        <v>44240</v>
      </c>
      <c r="B229" s="2"/>
      <c r="C229" s="2" t="s">
        <v>4</v>
      </c>
      <c r="D229" s="2">
        <f t="shared" si="6"/>
        <v>40840</v>
      </c>
      <c r="E229" s="21">
        <f t="shared" si="8"/>
        <v>125579</v>
      </c>
      <c r="F229" s="2">
        <v>0</v>
      </c>
    </row>
    <row r="230" spans="1:6" x14ac:dyDescent="0.35">
      <c r="A230" s="1">
        <v>44241</v>
      </c>
      <c r="B230" s="2"/>
      <c r="C230" s="2" t="s">
        <v>4</v>
      </c>
      <c r="D230" s="2">
        <f t="shared" si="6"/>
        <v>39950</v>
      </c>
      <c r="E230" s="21">
        <f t="shared" si="8"/>
        <v>125579</v>
      </c>
      <c r="F230" s="2">
        <v>0</v>
      </c>
    </row>
    <row r="231" spans="1:6" x14ac:dyDescent="0.35">
      <c r="A231" s="1">
        <v>44242</v>
      </c>
      <c r="B231" s="2"/>
      <c r="C231" s="2" t="s">
        <v>4</v>
      </c>
      <c r="D231" s="2">
        <f t="shared" si="6"/>
        <v>39060</v>
      </c>
      <c r="E231" s="21">
        <f t="shared" si="8"/>
        <v>125579</v>
      </c>
      <c r="F231" s="2">
        <v>0</v>
      </c>
    </row>
    <row r="232" spans="1:6" x14ac:dyDescent="0.35">
      <c r="A232" s="1">
        <v>44243</v>
      </c>
      <c r="B232" s="2"/>
      <c r="C232" s="2" t="s">
        <v>4</v>
      </c>
      <c r="D232" s="2">
        <f t="shared" si="6"/>
        <v>38170</v>
      </c>
      <c r="E232" s="21">
        <f t="shared" si="8"/>
        <v>125579</v>
      </c>
      <c r="F232" s="2">
        <v>0</v>
      </c>
    </row>
    <row r="233" spans="1:6" x14ac:dyDescent="0.35">
      <c r="A233" s="1">
        <v>44244</v>
      </c>
      <c r="B233" s="2"/>
      <c r="C233" s="2" t="s">
        <v>4</v>
      </c>
      <c r="D233" s="2">
        <f t="shared" si="6"/>
        <v>37280</v>
      </c>
      <c r="E233" s="21">
        <f t="shared" si="8"/>
        <v>125579</v>
      </c>
      <c r="F233" s="2">
        <v>0</v>
      </c>
    </row>
    <row r="234" spans="1:6" x14ac:dyDescent="0.35">
      <c r="A234" s="1">
        <v>44245</v>
      </c>
      <c r="B234" s="2"/>
      <c r="C234" s="2" t="s">
        <v>4</v>
      </c>
      <c r="D234" s="2">
        <f t="shared" si="6"/>
        <v>36390</v>
      </c>
      <c r="E234" s="21">
        <f t="shared" si="8"/>
        <v>125579</v>
      </c>
      <c r="F234" s="2">
        <v>0</v>
      </c>
    </row>
    <row r="235" spans="1:6" x14ac:dyDescent="0.35">
      <c r="A235" s="1">
        <v>44246</v>
      </c>
      <c r="B235" s="2"/>
      <c r="C235" s="2" t="s">
        <v>4</v>
      </c>
      <c r="D235" s="2">
        <f t="shared" si="6"/>
        <v>35500</v>
      </c>
      <c r="E235" s="21">
        <f t="shared" si="8"/>
        <v>125579</v>
      </c>
      <c r="F235" s="2">
        <v>0</v>
      </c>
    </row>
    <row r="236" spans="1:6" x14ac:dyDescent="0.35">
      <c r="A236" s="1">
        <v>44247</v>
      </c>
      <c r="B236" s="2"/>
      <c r="C236" s="2" t="s">
        <v>4</v>
      </c>
      <c r="D236" s="2">
        <f t="shared" si="6"/>
        <v>34610</v>
      </c>
      <c r="E236" s="21">
        <f t="shared" si="8"/>
        <v>125579</v>
      </c>
      <c r="F236" s="2">
        <v>0</v>
      </c>
    </row>
    <row r="237" spans="1:6" x14ac:dyDescent="0.35">
      <c r="A237" s="1">
        <v>44248</v>
      </c>
      <c r="B237" s="2"/>
      <c r="C237" s="2" t="s">
        <v>4</v>
      </c>
      <c r="D237" s="2">
        <f t="shared" si="6"/>
        <v>33720</v>
      </c>
      <c r="E237" s="21">
        <f t="shared" si="8"/>
        <v>125579</v>
      </c>
      <c r="F237" s="2">
        <v>0</v>
      </c>
    </row>
    <row r="238" spans="1:6" x14ac:dyDescent="0.35">
      <c r="A238" s="1">
        <v>44249</v>
      </c>
      <c r="B238" s="2"/>
      <c r="C238" s="2" t="s">
        <v>4</v>
      </c>
      <c r="D238" s="2">
        <f t="shared" si="6"/>
        <v>32830</v>
      </c>
      <c r="E238" s="21">
        <f t="shared" si="8"/>
        <v>125579</v>
      </c>
      <c r="F238" s="2">
        <v>0</v>
      </c>
    </row>
    <row r="239" spans="1:6" x14ac:dyDescent="0.35">
      <c r="A239" s="1">
        <v>44250</v>
      </c>
      <c r="B239" s="2"/>
      <c r="C239" s="2" t="s">
        <v>4</v>
      </c>
      <c r="D239" s="2">
        <f t="shared" si="6"/>
        <v>31940</v>
      </c>
      <c r="E239" s="21">
        <f t="shared" si="8"/>
        <v>125579</v>
      </c>
      <c r="F239" s="2">
        <v>0</v>
      </c>
    </row>
    <row r="240" spans="1:6" x14ac:dyDescent="0.35">
      <c r="A240" s="1">
        <v>44251</v>
      </c>
      <c r="B240" s="2"/>
      <c r="C240" s="2" t="s">
        <v>4</v>
      </c>
      <c r="D240" s="2">
        <f t="shared" si="6"/>
        <v>31050</v>
      </c>
      <c r="E240" s="21">
        <f t="shared" si="8"/>
        <v>125579</v>
      </c>
      <c r="F240" s="2">
        <v>0</v>
      </c>
    </row>
    <row r="241" spans="1:6" x14ac:dyDescent="0.35">
      <c r="A241" s="1">
        <v>44252</v>
      </c>
      <c r="B241" s="2"/>
      <c r="C241" s="2" t="s">
        <v>4</v>
      </c>
      <c r="D241" s="2">
        <f t="shared" si="6"/>
        <v>30160</v>
      </c>
      <c r="E241" s="21">
        <f t="shared" si="8"/>
        <v>125579</v>
      </c>
      <c r="F241" s="2">
        <v>0</v>
      </c>
    </row>
    <row r="242" spans="1:6" x14ac:dyDescent="0.35">
      <c r="A242" s="1">
        <v>44253</v>
      </c>
      <c r="B242" s="2"/>
      <c r="C242" s="2" t="s">
        <v>4</v>
      </c>
      <c r="D242" s="2">
        <f t="shared" si="6"/>
        <v>29270</v>
      </c>
      <c r="E242" s="21">
        <f t="shared" si="8"/>
        <v>125579</v>
      </c>
      <c r="F242" s="2">
        <v>0</v>
      </c>
    </row>
    <row r="243" spans="1:6" x14ac:dyDescent="0.35">
      <c r="A243" s="1">
        <v>44254</v>
      </c>
      <c r="B243" s="2"/>
      <c r="C243" s="2" t="s">
        <v>4</v>
      </c>
      <c r="D243" s="2">
        <f t="shared" si="6"/>
        <v>28380</v>
      </c>
      <c r="E243" s="21">
        <f t="shared" si="8"/>
        <v>125579</v>
      </c>
      <c r="F243" s="2">
        <v>0</v>
      </c>
    </row>
    <row r="244" spans="1:6" x14ac:dyDescent="0.35">
      <c r="A244" s="1">
        <v>44255</v>
      </c>
      <c r="B244" s="2"/>
      <c r="C244" s="2" t="s">
        <v>4</v>
      </c>
      <c r="D244" s="2">
        <f t="shared" si="6"/>
        <v>27490</v>
      </c>
      <c r="E244" s="21">
        <f t="shared" si="8"/>
        <v>125579</v>
      </c>
      <c r="F244" s="2">
        <v>0</v>
      </c>
    </row>
    <row r="245" spans="1:6" x14ac:dyDescent="0.35">
      <c r="A245" s="1">
        <v>44256</v>
      </c>
      <c r="B245" s="2"/>
      <c r="C245" s="2" t="s">
        <v>4</v>
      </c>
      <c r="D245" s="2">
        <f t="shared" si="6"/>
        <v>26600</v>
      </c>
      <c r="E245" s="21">
        <f t="shared" si="8"/>
        <v>125579</v>
      </c>
      <c r="F245" s="2">
        <v>0</v>
      </c>
    </row>
    <row r="246" spans="1:6" x14ac:dyDescent="0.35">
      <c r="A246" s="1">
        <v>44257</v>
      </c>
      <c r="B246" s="2"/>
      <c r="C246" s="2" t="s">
        <v>4</v>
      </c>
      <c r="D246" s="2">
        <f t="shared" si="6"/>
        <v>25710</v>
      </c>
      <c r="E246" s="21">
        <f t="shared" si="8"/>
        <v>125579</v>
      </c>
      <c r="F246" s="2">
        <v>0</v>
      </c>
    </row>
    <row r="247" spans="1:6" x14ac:dyDescent="0.35">
      <c r="A247" s="1">
        <v>44258</v>
      </c>
      <c r="B247" s="2"/>
      <c r="C247" s="2" t="s">
        <v>4</v>
      </c>
      <c r="D247" s="2">
        <f t="shared" si="6"/>
        <v>24820</v>
      </c>
      <c r="E247" s="21">
        <f t="shared" si="8"/>
        <v>125579</v>
      </c>
      <c r="F247" s="2">
        <v>0</v>
      </c>
    </row>
    <row r="248" spans="1:6" x14ac:dyDescent="0.35">
      <c r="A248" s="1">
        <v>44259</v>
      </c>
      <c r="B248" s="2"/>
      <c r="C248" s="2" t="s">
        <v>4</v>
      </c>
      <c r="D248" s="2">
        <f t="shared" si="6"/>
        <v>23930</v>
      </c>
      <c r="E248" s="21">
        <f t="shared" si="8"/>
        <v>125579</v>
      </c>
      <c r="F248" s="2">
        <v>0</v>
      </c>
    </row>
    <row r="249" spans="1:6" x14ac:dyDescent="0.35">
      <c r="A249" s="1">
        <v>44260</v>
      </c>
      <c r="B249" s="2"/>
      <c r="C249" s="2" t="s">
        <v>4</v>
      </c>
      <c r="D249" s="2">
        <f t="shared" si="6"/>
        <v>23040</v>
      </c>
      <c r="E249" s="21">
        <f t="shared" si="8"/>
        <v>125579</v>
      </c>
      <c r="F249" s="2">
        <v>0</v>
      </c>
    </row>
    <row r="250" spans="1:6" x14ac:dyDescent="0.35">
      <c r="A250" s="1">
        <v>44261</v>
      </c>
      <c r="B250" s="2"/>
      <c r="C250" s="2" t="s">
        <v>4</v>
      </c>
      <c r="D250" s="2">
        <f t="shared" si="6"/>
        <v>22150</v>
      </c>
      <c r="E250" s="21">
        <f t="shared" si="8"/>
        <v>125579</v>
      </c>
      <c r="F250" s="2">
        <v>0</v>
      </c>
    </row>
    <row r="251" spans="1:6" x14ac:dyDescent="0.35">
      <c r="A251" s="1">
        <v>44262</v>
      </c>
      <c r="B251" s="2"/>
      <c r="C251" s="2" t="s">
        <v>4</v>
      </c>
      <c r="D251" s="2">
        <f t="shared" ref="D251:D314" si="9">MAX(D250-$L$6,0)</f>
        <v>21260</v>
      </c>
      <c r="E251" s="21">
        <f t="shared" si="8"/>
        <v>125579</v>
      </c>
      <c r="F251" s="2">
        <v>0</v>
      </c>
    </row>
    <row r="252" spans="1:6" x14ac:dyDescent="0.35">
      <c r="A252" s="1">
        <v>44263</v>
      </c>
      <c r="B252" s="2"/>
      <c r="C252" s="2" t="s">
        <v>4</v>
      </c>
      <c r="D252" s="2">
        <f t="shared" si="9"/>
        <v>20370</v>
      </c>
      <c r="E252" s="21">
        <f t="shared" si="8"/>
        <v>125579</v>
      </c>
      <c r="F252" s="2">
        <v>0</v>
      </c>
    </row>
    <row r="253" spans="1:6" x14ac:dyDescent="0.35">
      <c r="A253" s="1">
        <v>44264</v>
      </c>
      <c r="B253" s="2"/>
      <c r="C253" s="2" t="s">
        <v>4</v>
      </c>
      <c r="D253" s="2">
        <f t="shared" si="9"/>
        <v>19480</v>
      </c>
      <c r="E253" s="21">
        <f t="shared" si="8"/>
        <v>125579</v>
      </c>
      <c r="F253" s="2">
        <v>0</v>
      </c>
    </row>
    <row r="254" spans="1:6" x14ac:dyDescent="0.35">
      <c r="A254" s="1">
        <v>44265</v>
      </c>
      <c r="B254" s="2"/>
      <c r="C254" s="2" t="s">
        <v>4</v>
      </c>
      <c r="D254" s="2">
        <f t="shared" si="9"/>
        <v>18590</v>
      </c>
      <c r="E254" s="21">
        <f t="shared" si="8"/>
        <v>125579</v>
      </c>
      <c r="F254" s="2">
        <v>0</v>
      </c>
    </row>
    <row r="255" spans="1:6" x14ac:dyDescent="0.35">
      <c r="A255" s="1">
        <v>44266</v>
      </c>
      <c r="B255" s="2"/>
      <c r="C255" s="2" t="s">
        <v>4</v>
      </c>
      <c r="D255" s="2">
        <f t="shared" si="9"/>
        <v>17700</v>
      </c>
      <c r="E255" s="21">
        <f t="shared" si="8"/>
        <v>125579</v>
      </c>
      <c r="F255" s="2">
        <v>0</v>
      </c>
    </row>
    <row r="256" spans="1:6" x14ac:dyDescent="0.35">
      <c r="A256" s="1">
        <v>44267</v>
      </c>
      <c r="B256" s="2"/>
      <c r="C256" s="2" t="s">
        <v>4</v>
      </c>
      <c r="D256" s="2">
        <f t="shared" si="9"/>
        <v>16810</v>
      </c>
      <c r="E256" s="21">
        <f t="shared" si="8"/>
        <v>125579</v>
      </c>
      <c r="F256" s="2">
        <v>0</v>
      </c>
    </row>
    <row r="257" spans="1:6" x14ac:dyDescent="0.35">
      <c r="A257" s="1">
        <v>44268</v>
      </c>
      <c r="B257" s="2"/>
      <c r="C257" s="2" t="s">
        <v>4</v>
      </c>
      <c r="D257" s="2">
        <f t="shared" si="9"/>
        <v>15920</v>
      </c>
      <c r="E257" s="21">
        <f t="shared" si="8"/>
        <v>125579</v>
      </c>
      <c r="F257" s="2">
        <v>0</v>
      </c>
    </row>
    <row r="258" spans="1:6" x14ac:dyDescent="0.35">
      <c r="A258" s="1">
        <v>44269</v>
      </c>
      <c r="B258" s="2"/>
      <c r="C258" s="2" t="s">
        <v>4</v>
      </c>
      <c r="D258" s="2">
        <f t="shared" si="9"/>
        <v>15030</v>
      </c>
      <c r="E258" s="21">
        <f t="shared" si="8"/>
        <v>125579</v>
      </c>
      <c r="F258" s="2">
        <v>0</v>
      </c>
    </row>
    <row r="259" spans="1:6" x14ac:dyDescent="0.35">
      <c r="A259" s="1">
        <v>44270</v>
      </c>
      <c r="B259" s="2"/>
      <c r="C259" s="2" t="s">
        <v>4</v>
      </c>
      <c r="D259" s="2">
        <f t="shared" si="9"/>
        <v>14140</v>
      </c>
      <c r="E259" s="21">
        <f t="shared" si="8"/>
        <v>125579</v>
      </c>
      <c r="F259" s="2">
        <v>0</v>
      </c>
    </row>
    <row r="260" spans="1:6" x14ac:dyDescent="0.35">
      <c r="A260" s="1">
        <v>44271</v>
      </c>
      <c r="B260" s="2"/>
      <c r="C260" s="2" t="s">
        <v>4</v>
      </c>
      <c r="D260" s="2">
        <f t="shared" si="9"/>
        <v>13250</v>
      </c>
      <c r="E260" s="21">
        <f t="shared" si="8"/>
        <v>125579</v>
      </c>
      <c r="F260" s="2">
        <v>0</v>
      </c>
    </row>
    <row r="261" spans="1:6" x14ac:dyDescent="0.35">
      <c r="A261" s="1">
        <v>44272</v>
      </c>
      <c r="B261" s="2"/>
      <c r="C261" s="2" t="s">
        <v>4</v>
      </c>
      <c r="D261" s="2">
        <f t="shared" si="9"/>
        <v>12360</v>
      </c>
      <c r="E261" s="21">
        <f t="shared" si="8"/>
        <v>125579</v>
      </c>
      <c r="F261" s="2">
        <v>0</v>
      </c>
    </row>
    <row r="262" spans="1:6" x14ac:dyDescent="0.35">
      <c r="A262" s="1">
        <v>44273</v>
      </c>
      <c r="B262" s="2"/>
      <c r="C262" s="2" t="s">
        <v>4</v>
      </c>
      <c r="D262" s="2">
        <f t="shared" si="9"/>
        <v>11470</v>
      </c>
      <c r="E262" s="21">
        <f t="shared" si="8"/>
        <v>125579</v>
      </c>
      <c r="F262" s="2">
        <v>0</v>
      </c>
    </row>
    <row r="263" spans="1:6" x14ac:dyDescent="0.35">
      <c r="A263" s="1">
        <v>44274</v>
      </c>
      <c r="B263" s="2"/>
      <c r="C263" s="2" t="s">
        <v>4</v>
      </c>
      <c r="D263" s="2">
        <f t="shared" si="9"/>
        <v>10580</v>
      </c>
      <c r="E263" s="21">
        <f t="shared" si="8"/>
        <v>125579</v>
      </c>
      <c r="F263" s="2">
        <v>0</v>
      </c>
    </row>
    <row r="264" spans="1:6" x14ac:dyDescent="0.35">
      <c r="A264" s="1">
        <v>44275</v>
      </c>
      <c r="B264" s="2"/>
      <c r="C264" s="2" t="s">
        <v>4</v>
      </c>
      <c r="D264" s="2">
        <f t="shared" si="9"/>
        <v>9690</v>
      </c>
      <c r="E264" s="21">
        <f t="shared" si="8"/>
        <v>125579</v>
      </c>
      <c r="F264" s="2">
        <v>0</v>
      </c>
    </row>
    <row r="265" spans="1:6" x14ac:dyDescent="0.35">
      <c r="A265" s="1">
        <v>44276</v>
      </c>
      <c r="B265" s="2"/>
      <c r="C265" s="2" t="s">
        <v>4</v>
      </c>
      <c r="D265" s="2">
        <f t="shared" si="9"/>
        <v>8800</v>
      </c>
      <c r="E265" s="21">
        <f t="shared" si="8"/>
        <v>125579</v>
      </c>
      <c r="F265" s="2">
        <v>0</v>
      </c>
    </row>
    <row r="266" spans="1:6" x14ac:dyDescent="0.35">
      <c r="A266" s="1">
        <v>44277</v>
      </c>
      <c r="B266" s="2"/>
      <c r="C266" s="2" t="s">
        <v>4</v>
      </c>
      <c r="D266" s="2">
        <f t="shared" si="9"/>
        <v>7910</v>
      </c>
      <c r="E266" s="21">
        <f t="shared" si="8"/>
        <v>125579</v>
      </c>
      <c r="F266" s="2">
        <v>0</v>
      </c>
    </row>
    <row r="267" spans="1:6" x14ac:dyDescent="0.35">
      <c r="A267" s="1">
        <v>44278</v>
      </c>
      <c r="B267" s="2"/>
      <c r="C267" s="2" t="s">
        <v>4</v>
      </c>
      <c r="D267" s="2">
        <f t="shared" si="9"/>
        <v>7020</v>
      </c>
      <c r="E267" s="21">
        <f t="shared" si="8"/>
        <v>125579</v>
      </c>
      <c r="F267" s="2">
        <v>0</v>
      </c>
    </row>
    <row r="268" spans="1:6" x14ac:dyDescent="0.35">
      <c r="A268" s="1">
        <v>44279</v>
      </c>
      <c r="B268" s="2"/>
      <c r="C268" s="2" t="s">
        <v>4</v>
      </c>
      <c r="D268" s="2">
        <f t="shared" si="9"/>
        <v>6130</v>
      </c>
      <c r="E268" s="21">
        <f t="shared" si="8"/>
        <v>125579</v>
      </c>
      <c r="F268" s="2">
        <v>0</v>
      </c>
    </row>
    <row r="269" spans="1:6" x14ac:dyDescent="0.35">
      <c r="A269" s="1">
        <v>44280</v>
      </c>
      <c r="B269" s="2"/>
      <c r="C269" s="2" t="s">
        <v>4</v>
      </c>
      <c r="D269" s="2">
        <f t="shared" si="9"/>
        <v>5240</v>
      </c>
      <c r="E269" s="21">
        <f t="shared" si="8"/>
        <v>125579</v>
      </c>
      <c r="F269" s="2">
        <v>0</v>
      </c>
    </row>
    <row r="270" spans="1:6" x14ac:dyDescent="0.35">
      <c r="A270" s="1">
        <v>44281</v>
      </c>
      <c r="B270" s="2"/>
      <c r="C270" s="2" t="s">
        <v>4</v>
      </c>
      <c r="D270" s="2">
        <f t="shared" si="9"/>
        <v>4350</v>
      </c>
      <c r="E270" s="21">
        <f t="shared" si="8"/>
        <v>125579</v>
      </c>
      <c r="F270" s="2">
        <v>0</v>
      </c>
    </row>
    <row r="271" spans="1:6" x14ac:dyDescent="0.35">
      <c r="A271" s="1">
        <v>44282</v>
      </c>
      <c r="B271" s="2"/>
      <c r="C271" s="2" t="s">
        <v>4</v>
      </c>
      <c r="D271" s="2">
        <f t="shared" si="9"/>
        <v>3460</v>
      </c>
      <c r="E271" s="21">
        <f t="shared" si="8"/>
        <v>125579</v>
      </c>
      <c r="F271" s="2">
        <v>0</v>
      </c>
    </row>
    <row r="272" spans="1:6" x14ac:dyDescent="0.35">
      <c r="A272" s="1">
        <v>44283</v>
      </c>
      <c r="B272" s="2"/>
      <c r="C272" s="2" t="s">
        <v>4</v>
      </c>
      <c r="D272" s="2">
        <f t="shared" si="9"/>
        <v>2570</v>
      </c>
      <c r="E272" s="21">
        <f t="shared" si="8"/>
        <v>125579</v>
      </c>
      <c r="F272" s="2">
        <v>0</v>
      </c>
    </row>
    <row r="273" spans="1:6" x14ac:dyDescent="0.35">
      <c r="A273" s="1">
        <v>44284</v>
      </c>
      <c r="B273" s="2"/>
      <c r="C273" s="2" t="s">
        <v>4</v>
      </c>
      <c r="D273" s="2">
        <f t="shared" si="9"/>
        <v>1680</v>
      </c>
      <c r="E273" s="21">
        <f t="shared" si="8"/>
        <v>125579</v>
      </c>
      <c r="F273" s="2">
        <v>0</v>
      </c>
    </row>
    <row r="274" spans="1:6" x14ac:dyDescent="0.35">
      <c r="A274" s="1">
        <v>44285</v>
      </c>
      <c r="B274" s="2"/>
      <c r="C274" s="2" t="s">
        <v>4</v>
      </c>
      <c r="D274" s="2">
        <f t="shared" si="9"/>
        <v>790</v>
      </c>
      <c r="E274" s="21">
        <f t="shared" si="8"/>
        <v>125579</v>
      </c>
      <c r="F274" s="2">
        <v>0</v>
      </c>
    </row>
    <row r="275" spans="1:6" x14ac:dyDescent="0.35">
      <c r="A275" s="1">
        <v>44286</v>
      </c>
      <c r="B275" s="2"/>
      <c r="C275" s="2" t="s">
        <v>4</v>
      </c>
      <c r="D275" s="2">
        <f t="shared" si="9"/>
        <v>0</v>
      </c>
      <c r="E275" s="21">
        <f t="shared" ref="E275:E282" si="10">(D274-D275)*$L$20</f>
        <v>0</v>
      </c>
      <c r="F275">
        <v>0</v>
      </c>
    </row>
    <row r="276" spans="1:6" x14ac:dyDescent="0.35">
      <c r="A276" s="1">
        <v>44287</v>
      </c>
      <c r="B276" s="2"/>
      <c r="C276" s="2" t="s">
        <v>4</v>
      </c>
      <c r="D276" s="2">
        <f t="shared" si="9"/>
        <v>0</v>
      </c>
      <c r="E276" s="21">
        <f>(D275-D276)*$L$20-N4</f>
        <v>0</v>
      </c>
      <c r="F276">
        <v>0</v>
      </c>
    </row>
    <row r="277" spans="1:6" x14ac:dyDescent="0.35">
      <c r="A277" s="1">
        <v>44288</v>
      </c>
      <c r="B277" s="2"/>
      <c r="C277" s="2" t="s">
        <v>4</v>
      </c>
      <c r="D277" s="2">
        <f t="shared" si="9"/>
        <v>0</v>
      </c>
      <c r="E277" s="21">
        <f t="shared" si="10"/>
        <v>0</v>
      </c>
      <c r="F277">
        <v>0</v>
      </c>
    </row>
    <row r="278" spans="1:6" x14ac:dyDescent="0.35">
      <c r="A278" s="1">
        <v>44289</v>
      </c>
      <c r="B278" s="2"/>
      <c r="C278" s="2" t="s">
        <v>4</v>
      </c>
      <c r="D278" s="2">
        <f t="shared" si="9"/>
        <v>0</v>
      </c>
      <c r="E278" s="21">
        <f t="shared" si="10"/>
        <v>0</v>
      </c>
      <c r="F278">
        <v>0</v>
      </c>
    </row>
    <row r="279" spans="1:6" x14ac:dyDescent="0.35">
      <c r="A279" s="1">
        <v>44290</v>
      </c>
      <c r="B279" s="2"/>
      <c r="C279" s="2" t="s">
        <v>4</v>
      </c>
      <c r="D279" s="2">
        <f t="shared" si="9"/>
        <v>0</v>
      </c>
      <c r="E279" s="21">
        <f t="shared" si="10"/>
        <v>0</v>
      </c>
      <c r="F279">
        <v>0</v>
      </c>
    </row>
    <row r="280" spans="1:6" x14ac:dyDescent="0.35">
      <c r="A280" s="1">
        <v>44291</v>
      </c>
      <c r="B280" s="2"/>
      <c r="C280" s="2" t="s">
        <v>4</v>
      </c>
      <c r="D280" s="2">
        <f t="shared" si="9"/>
        <v>0</v>
      </c>
      <c r="E280" s="21">
        <f t="shared" si="10"/>
        <v>0</v>
      </c>
      <c r="F280">
        <v>0</v>
      </c>
    </row>
    <row r="281" spans="1:6" x14ac:dyDescent="0.35">
      <c r="A281" s="1">
        <v>44292</v>
      </c>
      <c r="B281" s="2"/>
      <c r="C281" s="2" t="s">
        <v>4</v>
      </c>
      <c r="D281" s="2">
        <f t="shared" si="9"/>
        <v>0</v>
      </c>
      <c r="E281" s="21">
        <f t="shared" si="10"/>
        <v>0</v>
      </c>
      <c r="F281">
        <v>0</v>
      </c>
    </row>
    <row r="282" spans="1:6" x14ac:dyDescent="0.35">
      <c r="A282" s="1">
        <v>44293</v>
      </c>
      <c r="B282" s="2"/>
      <c r="C282" s="2" t="s">
        <v>4</v>
      </c>
      <c r="D282" s="2">
        <f t="shared" si="9"/>
        <v>0</v>
      </c>
      <c r="E282" s="21">
        <f t="shared" si="10"/>
        <v>0</v>
      </c>
      <c r="F282">
        <v>0</v>
      </c>
    </row>
    <row r="283" spans="1:6" x14ac:dyDescent="0.35">
      <c r="A283" s="1">
        <v>44294</v>
      </c>
      <c r="B283" s="2"/>
      <c r="C283" s="2" t="s">
        <v>4</v>
      </c>
      <c r="D283" s="2">
        <f t="shared" si="9"/>
        <v>0</v>
      </c>
      <c r="E283" s="21">
        <f t="shared" ref="E283:E346" si="11">(D282-D283)*$L$20</f>
        <v>0</v>
      </c>
      <c r="F283">
        <v>0</v>
      </c>
    </row>
    <row r="284" spans="1:6" x14ac:dyDescent="0.35">
      <c r="A284" s="1">
        <v>44295</v>
      </c>
      <c r="B284" s="2"/>
      <c r="C284" s="2" t="s">
        <v>4</v>
      </c>
      <c r="D284" s="2">
        <f t="shared" si="9"/>
        <v>0</v>
      </c>
      <c r="E284" s="21">
        <f t="shared" si="11"/>
        <v>0</v>
      </c>
      <c r="F284">
        <v>0</v>
      </c>
    </row>
    <row r="285" spans="1:6" x14ac:dyDescent="0.35">
      <c r="A285" s="1">
        <v>44296</v>
      </c>
      <c r="B285" s="2"/>
      <c r="C285" s="2" t="s">
        <v>4</v>
      </c>
      <c r="D285" s="2">
        <f t="shared" si="9"/>
        <v>0</v>
      </c>
      <c r="E285" s="21">
        <f t="shared" si="11"/>
        <v>0</v>
      </c>
      <c r="F285">
        <v>0</v>
      </c>
    </row>
    <row r="286" spans="1:6" x14ac:dyDescent="0.35">
      <c r="A286" s="1">
        <v>44297</v>
      </c>
      <c r="B286" s="2"/>
      <c r="C286" s="2" t="s">
        <v>4</v>
      </c>
      <c r="D286" s="2">
        <f t="shared" si="9"/>
        <v>0</v>
      </c>
      <c r="E286" s="21">
        <f t="shared" si="11"/>
        <v>0</v>
      </c>
      <c r="F286">
        <v>0</v>
      </c>
    </row>
    <row r="287" spans="1:6" x14ac:dyDescent="0.35">
      <c r="A287" s="1">
        <v>44298</v>
      </c>
      <c r="B287" s="2"/>
      <c r="C287" s="2" t="s">
        <v>4</v>
      </c>
      <c r="D287" s="2">
        <f t="shared" si="9"/>
        <v>0</v>
      </c>
      <c r="E287" s="21">
        <f t="shared" si="11"/>
        <v>0</v>
      </c>
      <c r="F287">
        <v>0</v>
      </c>
    </row>
    <row r="288" spans="1:6" x14ac:dyDescent="0.35">
      <c r="A288" s="1">
        <v>44299</v>
      </c>
      <c r="B288" s="2"/>
      <c r="C288" s="2" t="s">
        <v>4</v>
      </c>
      <c r="D288" s="2">
        <f t="shared" si="9"/>
        <v>0</v>
      </c>
      <c r="E288" s="21">
        <f t="shared" si="11"/>
        <v>0</v>
      </c>
      <c r="F288">
        <v>0</v>
      </c>
    </row>
    <row r="289" spans="1:6" x14ac:dyDescent="0.35">
      <c r="A289" s="1">
        <v>44300</v>
      </c>
      <c r="B289" s="2"/>
      <c r="C289" s="2" t="s">
        <v>4</v>
      </c>
      <c r="D289" s="2">
        <f t="shared" si="9"/>
        <v>0</v>
      </c>
      <c r="E289" s="21">
        <f t="shared" si="11"/>
        <v>0</v>
      </c>
      <c r="F289">
        <v>0</v>
      </c>
    </row>
    <row r="290" spans="1:6" x14ac:dyDescent="0.35">
      <c r="A290" s="1">
        <v>44301</v>
      </c>
      <c r="B290" s="2"/>
      <c r="C290" s="2" t="s">
        <v>4</v>
      </c>
      <c r="D290" s="2">
        <f t="shared" si="9"/>
        <v>0</v>
      </c>
      <c r="E290" s="21">
        <f t="shared" si="11"/>
        <v>0</v>
      </c>
      <c r="F290">
        <v>0</v>
      </c>
    </row>
    <row r="291" spans="1:6" x14ac:dyDescent="0.35">
      <c r="A291" s="1">
        <v>44302</v>
      </c>
      <c r="B291" s="2"/>
      <c r="C291" s="2" t="s">
        <v>4</v>
      </c>
      <c r="D291" s="2">
        <f t="shared" si="9"/>
        <v>0</v>
      </c>
      <c r="E291" s="21">
        <f t="shared" si="11"/>
        <v>0</v>
      </c>
      <c r="F291">
        <v>0</v>
      </c>
    </row>
    <row r="292" spans="1:6" x14ac:dyDescent="0.35">
      <c r="A292" s="1">
        <v>44303</v>
      </c>
      <c r="B292" s="2"/>
      <c r="C292" s="2" t="s">
        <v>4</v>
      </c>
      <c r="D292" s="2">
        <f t="shared" si="9"/>
        <v>0</v>
      </c>
      <c r="E292" s="21">
        <f t="shared" si="11"/>
        <v>0</v>
      </c>
      <c r="F292">
        <v>0</v>
      </c>
    </row>
    <row r="293" spans="1:6" x14ac:dyDescent="0.35">
      <c r="A293" s="1">
        <v>44304</v>
      </c>
      <c r="B293" s="2"/>
      <c r="C293" s="2" t="s">
        <v>4</v>
      </c>
      <c r="D293" s="2">
        <f t="shared" si="9"/>
        <v>0</v>
      </c>
      <c r="E293" s="21">
        <f t="shared" si="11"/>
        <v>0</v>
      </c>
      <c r="F293">
        <v>0</v>
      </c>
    </row>
    <row r="294" spans="1:6" x14ac:dyDescent="0.35">
      <c r="A294" s="1">
        <v>44305</v>
      </c>
      <c r="B294" s="2"/>
      <c r="C294" s="2" t="s">
        <v>4</v>
      </c>
      <c r="D294" s="2">
        <f t="shared" si="9"/>
        <v>0</v>
      </c>
      <c r="E294" s="21">
        <f t="shared" si="11"/>
        <v>0</v>
      </c>
      <c r="F294">
        <v>0</v>
      </c>
    </row>
    <row r="295" spans="1:6" x14ac:dyDescent="0.35">
      <c r="A295" s="1">
        <v>44306</v>
      </c>
      <c r="B295" s="2"/>
      <c r="C295" s="2" t="s">
        <v>4</v>
      </c>
      <c r="D295" s="2">
        <f t="shared" si="9"/>
        <v>0</v>
      </c>
      <c r="E295" s="21">
        <f t="shared" si="11"/>
        <v>0</v>
      </c>
      <c r="F295">
        <v>0</v>
      </c>
    </row>
    <row r="296" spans="1:6" x14ac:dyDescent="0.35">
      <c r="A296" s="1">
        <v>44307</v>
      </c>
      <c r="B296" s="2"/>
      <c r="C296" s="2" t="s">
        <v>4</v>
      </c>
      <c r="D296" s="2">
        <f t="shared" si="9"/>
        <v>0</v>
      </c>
      <c r="E296" s="21">
        <f t="shared" si="11"/>
        <v>0</v>
      </c>
      <c r="F296">
        <v>0</v>
      </c>
    </row>
    <row r="297" spans="1:6" x14ac:dyDescent="0.35">
      <c r="A297" s="1">
        <v>44308</v>
      </c>
      <c r="B297" s="2"/>
      <c r="C297" s="2" t="s">
        <v>4</v>
      </c>
      <c r="D297" s="2">
        <f t="shared" si="9"/>
        <v>0</v>
      </c>
      <c r="E297" s="21">
        <f t="shared" si="11"/>
        <v>0</v>
      </c>
      <c r="F297">
        <v>0</v>
      </c>
    </row>
    <row r="298" spans="1:6" x14ac:dyDescent="0.35">
      <c r="A298" s="1">
        <v>44309</v>
      </c>
      <c r="B298" s="2"/>
      <c r="C298" s="2" t="s">
        <v>4</v>
      </c>
      <c r="D298" s="2">
        <f t="shared" si="9"/>
        <v>0</v>
      </c>
      <c r="E298" s="21">
        <f t="shared" si="11"/>
        <v>0</v>
      </c>
      <c r="F298">
        <v>0</v>
      </c>
    </row>
    <row r="299" spans="1:6" x14ac:dyDescent="0.35">
      <c r="A299" s="1">
        <v>44310</v>
      </c>
      <c r="B299" s="2"/>
      <c r="C299" s="2" t="s">
        <v>4</v>
      </c>
      <c r="D299" s="2">
        <f t="shared" si="9"/>
        <v>0</v>
      </c>
      <c r="E299" s="21">
        <f t="shared" si="11"/>
        <v>0</v>
      </c>
      <c r="F299">
        <v>0</v>
      </c>
    </row>
    <row r="300" spans="1:6" x14ac:dyDescent="0.35">
      <c r="A300" s="1">
        <v>44311</v>
      </c>
      <c r="B300" s="2"/>
      <c r="C300" s="2" t="s">
        <v>4</v>
      </c>
      <c r="D300" s="2">
        <f t="shared" si="9"/>
        <v>0</v>
      </c>
      <c r="E300" s="21">
        <f t="shared" si="11"/>
        <v>0</v>
      </c>
      <c r="F300">
        <v>0</v>
      </c>
    </row>
    <row r="301" spans="1:6" x14ac:dyDescent="0.35">
      <c r="A301" s="1">
        <v>44312</v>
      </c>
      <c r="B301" s="2"/>
      <c r="C301" s="2" t="s">
        <v>4</v>
      </c>
      <c r="D301" s="2">
        <f t="shared" si="9"/>
        <v>0</v>
      </c>
      <c r="E301" s="21">
        <f t="shared" si="11"/>
        <v>0</v>
      </c>
      <c r="F301">
        <v>0</v>
      </c>
    </row>
    <row r="302" spans="1:6" x14ac:dyDescent="0.35">
      <c r="A302" s="1">
        <v>44313</v>
      </c>
      <c r="B302" s="2"/>
      <c r="C302" s="2" t="s">
        <v>4</v>
      </c>
      <c r="D302" s="2">
        <f t="shared" si="9"/>
        <v>0</v>
      </c>
      <c r="E302" s="21">
        <f t="shared" si="11"/>
        <v>0</v>
      </c>
      <c r="F302">
        <v>0</v>
      </c>
    </row>
    <row r="303" spans="1:6" x14ac:dyDescent="0.35">
      <c r="A303" s="1">
        <v>44314</v>
      </c>
      <c r="B303" s="2"/>
      <c r="C303" s="2" t="s">
        <v>4</v>
      </c>
      <c r="D303" s="2">
        <f t="shared" si="9"/>
        <v>0</v>
      </c>
      <c r="E303" s="21">
        <f t="shared" si="11"/>
        <v>0</v>
      </c>
      <c r="F303">
        <v>0</v>
      </c>
    </row>
    <row r="304" spans="1:6" x14ac:dyDescent="0.35">
      <c r="A304" s="1">
        <v>44315</v>
      </c>
      <c r="B304" s="2"/>
      <c r="C304" s="2" t="s">
        <v>4</v>
      </c>
      <c r="D304" s="2">
        <f t="shared" si="9"/>
        <v>0</v>
      </c>
      <c r="E304" s="21">
        <f t="shared" si="11"/>
        <v>0</v>
      </c>
      <c r="F304">
        <v>0</v>
      </c>
    </row>
    <row r="305" spans="1:6" x14ac:dyDescent="0.35">
      <c r="A305" s="1">
        <v>44316</v>
      </c>
      <c r="B305" s="2"/>
      <c r="C305" s="2" t="s">
        <v>4</v>
      </c>
      <c r="D305" s="2">
        <f t="shared" si="9"/>
        <v>0</v>
      </c>
      <c r="E305" s="21">
        <f t="shared" si="11"/>
        <v>0</v>
      </c>
      <c r="F305">
        <v>0</v>
      </c>
    </row>
    <row r="306" spans="1:6" x14ac:dyDescent="0.35">
      <c r="A306" s="1">
        <v>44317</v>
      </c>
      <c r="B306" s="2"/>
      <c r="C306" s="2" t="s">
        <v>4</v>
      </c>
      <c r="D306" s="2">
        <f t="shared" si="9"/>
        <v>0</v>
      </c>
      <c r="E306" s="21">
        <f>(D305-D306)*$L$20-N4</f>
        <v>0</v>
      </c>
      <c r="F306">
        <v>0</v>
      </c>
    </row>
    <row r="307" spans="1:6" x14ac:dyDescent="0.35">
      <c r="A307" s="1">
        <v>44318</v>
      </c>
      <c r="B307" s="2"/>
      <c r="C307" s="2" t="s">
        <v>4</v>
      </c>
      <c r="D307" s="2">
        <f t="shared" si="9"/>
        <v>0</v>
      </c>
      <c r="E307" s="21">
        <f t="shared" si="11"/>
        <v>0</v>
      </c>
      <c r="F307">
        <v>0</v>
      </c>
    </row>
    <row r="308" spans="1:6" x14ac:dyDescent="0.35">
      <c r="A308" s="1">
        <v>44319</v>
      </c>
      <c r="B308" s="2"/>
      <c r="C308" s="2" t="s">
        <v>4</v>
      </c>
      <c r="D308" s="2">
        <f t="shared" si="9"/>
        <v>0</v>
      </c>
      <c r="E308" s="21">
        <f t="shared" si="11"/>
        <v>0</v>
      </c>
      <c r="F308">
        <v>0</v>
      </c>
    </row>
    <row r="309" spans="1:6" x14ac:dyDescent="0.35">
      <c r="A309" s="1">
        <v>44320</v>
      </c>
      <c r="B309" s="2"/>
      <c r="C309" s="2" t="s">
        <v>4</v>
      </c>
      <c r="D309" s="2">
        <f t="shared" si="9"/>
        <v>0</v>
      </c>
      <c r="E309" s="21">
        <f t="shared" si="11"/>
        <v>0</v>
      </c>
      <c r="F309">
        <v>0</v>
      </c>
    </row>
    <row r="310" spans="1:6" x14ac:dyDescent="0.35">
      <c r="A310" s="1">
        <v>44321</v>
      </c>
      <c r="B310" s="2"/>
      <c r="C310" s="2" t="s">
        <v>4</v>
      </c>
      <c r="D310" s="2">
        <f t="shared" si="9"/>
        <v>0</v>
      </c>
      <c r="E310" s="21">
        <f t="shared" si="11"/>
        <v>0</v>
      </c>
      <c r="F310">
        <v>0</v>
      </c>
    </row>
    <row r="311" spans="1:6" x14ac:dyDescent="0.35">
      <c r="A311" s="1">
        <v>44322</v>
      </c>
      <c r="B311" s="2"/>
      <c r="C311" s="2" t="s">
        <v>4</v>
      </c>
      <c r="D311" s="2">
        <f t="shared" si="9"/>
        <v>0</v>
      </c>
      <c r="E311" s="21">
        <f t="shared" si="11"/>
        <v>0</v>
      </c>
      <c r="F311">
        <v>0</v>
      </c>
    </row>
    <row r="312" spans="1:6" x14ac:dyDescent="0.35">
      <c r="A312" s="1">
        <v>44323</v>
      </c>
      <c r="B312" s="2"/>
      <c r="C312" s="2" t="s">
        <v>4</v>
      </c>
      <c r="D312" s="2">
        <f t="shared" si="9"/>
        <v>0</v>
      </c>
      <c r="E312" s="21">
        <f t="shared" si="11"/>
        <v>0</v>
      </c>
      <c r="F312">
        <v>0</v>
      </c>
    </row>
    <row r="313" spans="1:6" x14ac:dyDescent="0.35">
      <c r="A313" s="1">
        <v>44324</v>
      </c>
      <c r="B313" s="2"/>
      <c r="C313" s="2" t="s">
        <v>4</v>
      </c>
      <c r="D313" s="2">
        <f t="shared" si="9"/>
        <v>0</v>
      </c>
      <c r="E313" s="21">
        <f t="shared" si="11"/>
        <v>0</v>
      </c>
      <c r="F313">
        <v>0</v>
      </c>
    </row>
    <row r="314" spans="1:6" x14ac:dyDescent="0.35">
      <c r="A314" s="1">
        <v>44325</v>
      </c>
      <c r="B314" s="2"/>
      <c r="C314" s="2" t="s">
        <v>4</v>
      </c>
      <c r="D314" s="2">
        <f t="shared" si="9"/>
        <v>0</v>
      </c>
      <c r="E314" s="21">
        <f t="shared" si="11"/>
        <v>0</v>
      </c>
      <c r="F314">
        <v>0</v>
      </c>
    </row>
    <row r="315" spans="1:6" x14ac:dyDescent="0.35">
      <c r="A315" s="1">
        <v>44326</v>
      </c>
      <c r="B315" s="2"/>
      <c r="C315" s="2" t="s">
        <v>4</v>
      </c>
      <c r="D315" s="2">
        <f t="shared" ref="D315:D367" si="12">MAX(D314-$L$6,0)</f>
        <v>0</v>
      </c>
      <c r="E315" s="21">
        <f t="shared" si="11"/>
        <v>0</v>
      </c>
      <c r="F315">
        <v>0</v>
      </c>
    </row>
    <row r="316" spans="1:6" x14ac:dyDescent="0.35">
      <c r="A316" s="1">
        <v>44327</v>
      </c>
      <c r="B316" s="2"/>
      <c r="C316" s="2" t="s">
        <v>4</v>
      </c>
      <c r="D316" s="2">
        <f t="shared" si="12"/>
        <v>0</v>
      </c>
      <c r="E316" s="21">
        <f t="shared" si="11"/>
        <v>0</v>
      </c>
      <c r="F316">
        <v>0</v>
      </c>
    </row>
    <row r="317" spans="1:6" x14ac:dyDescent="0.35">
      <c r="A317" s="1">
        <v>44328</v>
      </c>
      <c r="B317" s="2"/>
      <c r="C317" s="2" t="s">
        <v>4</v>
      </c>
      <c r="D317" s="2">
        <f t="shared" si="12"/>
        <v>0</v>
      </c>
      <c r="E317" s="21">
        <f t="shared" si="11"/>
        <v>0</v>
      </c>
      <c r="F317">
        <v>0</v>
      </c>
    </row>
    <row r="318" spans="1:6" x14ac:dyDescent="0.35">
      <c r="A318" s="1">
        <v>44329</v>
      </c>
      <c r="B318" s="2"/>
      <c r="C318" s="2" t="s">
        <v>4</v>
      </c>
      <c r="D318" s="2">
        <f t="shared" si="12"/>
        <v>0</v>
      </c>
      <c r="E318" s="21">
        <f t="shared" si="11"/>
        <v>0</v>
      </c>
      <c r="F318">
        <v>0</v>
      </c>
    </row>
    <row r="319" spans="1:6" x14ac:dyDescent="0.35">
      <c r="A319" s="1">
        <v>44330</v>
      </c>
      <c r="B319" s="2"/>
      <c r="C319" s="2" t="s">
        <v>4</v>
      </c>
      <c r="D319" s="2">
        <f t="shared" si="12"/>
        <v>0</v>
      </c>
      <c r="E319" s="21">
        <f t="shared" si="11"/>
        <v>0</v>
      </c>
      <c r="F319">
        <v>0</v>
      </c>
    </row>
    <row r="320" spans="1:6" x14ac:dyDescent="0.35">
      <c r="A320" s="1">
        <v>44331</v>
      </c>
      <c r="B320" s="2"/>
      <c r="C320" s="2" t="s">
        <v>4</v>
      </c>
      <c r="D320" s="2">
        <f t="shared" si="12"/>
        <v>0</v>
      </c>
      <c r="E320" s="21">
        <f t="shared" si="11"/>
        <v>0</v>
      </c>
      <c r="F320">
        <v>0</v>
      </c>
    </row>
    <row r="321" spans="1:6" x14ac:dyDescent="0.35">
      <c r="A321" s="1">
        <v>44332</v>
      </c>
      <c r="B321" s="2"/>
      <c r="C321" s="2" t="s">
        <v>4</v>
      </c>
      <c r="D321" s="2">
        <f t="shared" si="12"/>
        <v>0</v>
      </c>
      <c r="E321" s="21">
        <f t="shared" si="11"/>
        <v>0</v>
      </c>
      <c r="F321">
        <v>0</v>
      </c>
    </row>
    <row r="322" spans="1:6" x14ac:dyDescent="0.35">
      <c r="A322" s="1">
        <v>44333</v>
      </c>
      <c r="B322" s="2"/>
      <c r="C322" s="2" t="s">
        <v>4</v>
      </c>
      <c r="D322" s="2">
        <f t="shared" si="12"/>
        <v>0</v>
      </c>
      <c r="E322" s="21">
        <f t="shared" si="11"/>
        <v>0</v>
      </c>
      <c r="F322">
        <v>0</v>
      </c>
    </row>
    <row r="323" spans="1:6" x14ac:dyDescent="0.35">
      <c r="A323" s="1">
        <v>44334</v>
      </c>
      <c r="B323" s="2"/>
      <c r="C323" s="2" t="s">
        <v>4</v>
      </c>
      <c r="D323" s="2">
        <f t="shared" si="12"/>
        <v>0</v>
      </c>
      <c r="E323" s="21">
        <f t="shared" si="11"/>
        <v>0</v>
      </c>
      <c r="F323">
        <v>0</v>
      </c>
    </row>
    <row r="324" spans="1:6" x14ac:dyDescent="0.35">
      <c r="A324" s="1">
        <v>44335</v>
      </c>
      <c r="B324" s="2"/>
      <c r="C324" s="2" t="s">
        <v>4</v>
      </c>
      <c r="D324" s="2">
        <f t="shared" si="12"/>
        <v>0</v>
      </c>
      <c r="E324" s="21">
        <f t="shared" si="11"/>
        <v>0</v>
      </c>
      <c r="F324">
        <v>0</v>
      </c>
    </row>
    <row r="325" spans="1:6" x14ac:dyDescent="0.35">
      <c r="A325" s="1">
        <v>44336</v>
      </c>
      <c r="B325" s="2"/>
      <c r="C325" s="2" t="s">
        <v>4</v>
      </c>
      <c r="D325" s="2">
        <f t="shared" si="12"/>
        <v>0</v>
      </c>
      <c r="E325" s="21">
        <f t="shared" si="11"/>
        <v>0</v>
      </c>
      <c r="F325">
        <v>0</v>
      </c>
    </row>
    <row r="326" spans="1:6" x14ac:dyDescent="0.35">
      <c r="A326" s="1">
        <v>44337</v>
      </c>
      <c r="B326" s="2"/>
      <c r="C326" s="2" t="s">
        <v>4</v>
      </c>
      <c r="D326" s="2">
        <f t="shared" si="12"/>
        <v>0</v>
      </c>
      <c r="E326" s="21">
        <f t="shared" si="11"/>
        <v>0</v>
      </c>
      <c r="F326">
        <v>0</v>
      </c>
    </row>
    <row r="327" spans="1:6" x14ac:dyDescent="0.35">
      <c r="A327" s="1">
        <v>44338</v>
      </c>
      <c r="B327" s="2"/>
      <c r="C327" s="2" t="s">
        <v>4</v>
      </c>
      <c r="D327" s="2">
        <f t="shared" si="12"/>
        <v>0</v>
      </c>
      <c r="E327" s="21">
        <f t="shared" si="11"/>
        <v>0</v>
      </c>
      <c r="F327">
        <v>0</v>
      </c>
    </row>
    <row r="328" spans="1:6" x14ac:dyDescent="0.35">
      <c r="A328" s="1">
        <v>44339</v>
      </c>
      <c r="B328" s="2"/>
      <c r="C328" s="2" t="s">
        <v>4</v>
      </c>
      <c r="D328" s="2">
        <f t="shared" si="12"/>
        <v>0</v>
      </c>
      <c r="E328" s="21">
        <f t="shared" si="11"/>
        <v>0</v>
      </c>
      <c r="F328">
        <v>0</v>
      </c>
    </row>
    <row r="329" spans="1:6" x14ac:dyDescent="0.35">
      <c r="A329" s="1">
        <v>44340</v>
      </c>
      <c r="B329" s="2"/>
      <c r="C329" s="2" t="s">
        <v>4</v>
      </c>
      <c r="D329" s="2">
        <f t="shared" si="12"/>
        <v>0</v>
      </c>
      <c r="E329" s="21">
        <f t="shared" si="11"/>
        <v>0</v>
      </c>
      <c r="F329">
        <v>0</v>
      </c>
    </row>
    <row r="330" spans="1:6" x14ac:dyDescent="0.35">
      <c r="A330" s="1">
        <v>44341</v>
      </c>
      <c r="B330" s="2"/>
      <c r="C330" s="2" t="s">
        <v>4</v>
      </c>
      <c r="D330" s="2">
        <f t="shared" si="12"/>
        <v>0</v>
      </c>
      <c r="E330" s="21">
        <f t="shared" si="11"/>
        <v>0</v>
      </c>
      <c r="F330">
        <v>0</v>
      </c>
    </row>
    <row r="331" spans="1:6" x14ac:dyDescent="0.35">
      <c r="A331" s="1">
        <v>44342</v>
      </c>
      <c r="B331" s="2"/>
      <c r="C331" s="2" t="s">
        <v>4</v>
      </c>
      <c r="D331" s="2">
        <f t="shared" si="12"/>
        <v>0</v>
      </c>
      <c r="E331" s="21">
        <f t="shared" si="11"/>
        <v>0</v>
      </c>
      <c r="F331">
        <v>0</v>
      </c>
    </row>
    <row r="332" spans="1:6" x14ac:dyDescent="0.35">
      <c r="A332" s="1">
        <v>44343</v>
      </c>
      <c r="B332" s="2"/>
      <c r="C332" s="2" t="s">
        <v>4</v>
      </c>
      <c r="D332" s="2">
        <f t="shared" si="12"/>
        <v>0</v>
      </c>
      <c r="E332" s="21">
        <f t="shared" si="11"/>
        <v>0</v>
      </c>
      <c r="F332">
        <v>0</v>
      </c>
    </row>
    <row r="333" spans="1:6" x14ac:dyDescent="0.35">
      <c r="A333" s="1">
        <v>44344</v>
      </c>
      <c r="B333" s="2"/>
      <c r="C333" s="2" t="s">
        <v>4</v>
      </c>
      <c r="D333" s="2">
        <f t="shared" si="12"/>
        <v>0</v>
      </c>
      <c r="E333" s="21">
        <f t="shared" si="11"/>
        <v>0</v>
      </c>
      <c r="F333">
        <v>0</v>
      </c>
    </row>
    <row r="334" spans="1:6" x14ac:dyDescent="0.35">
      <c r="A334" s="1">
        <v>44345</v>
      </c>
      <c r="B334" s="2"/>
      <c r="C334" s="2" t="s">
        <v>4</v>
      </c>
      <c r="D334" s="2">
        <f t="shared" si="12"/>
        <v>0</v>
      </c>
      <c r="E334" s="21">
        <f t="shared" si="11"/>
        <v>0</v>
      </c>
      <c r="F334">
        <v>0</v>
      </c>
    </row>
    <row r="335" spans="1:6" x14ac:dyDescent="0.35">
      <c r="A335" s="1">
        <v>44346</v>
      </c>
      <c r="B335" s="2"/>
      <c r="C335" s="2" t="s">
        <v>4</v>
      </c>
      <c r="D335" s="2">
        <f t="shared" si="12"/>
        <v>0</v>
      </c>
      <c r="E335" s="21">
        <f t="shared" si="11"/>
        <v>0</v>
      </c>
      <c r="F335">
        <v>0</v>
      </c>
    </row>
    <row r="336" spans="1:6" x14ac:dyDescent="0.35">
      <c r="A336" s="1">
        <v>44347</v>
      </c>
      <c r="B336" s="2"/>
      <c r="C336" s="2" t="s">
        <v>4</v>
      </c>
      <c r="D336" s="2">
        <f t="shared" si="12"/>
        <v>0</v>
      </c>
      <c r="E336" s="21">
        <f t="shared" si="11"/>
        <v>0</v>
      </c>
      <c r="F336">
        <v>0</v>
      </c>
    </row>
    <row r="337" spans="1:6" x14ac:dyDescent="0.35">
      <c r="A337" s="1">
        <v>44348</v>
      </c>
      <c r="B337" s="2"/>
      <c r="C337" s="2" t="s">
        <v>4</v>
      </c>
      <c r="D337" s="2">
        <f t="shared" si="12"/>
        <v>0</v>
      </c>
      <c r="E337" s="21">
        <f>(D336-D337)*$L$20-N4</f>
        <v>0</v>
      </c>
      <c r="F337">
        <v>0</v>
      </c>
    </row>
    <row r="338" spans="1:6" x14ac:dyDescent="0.35">
      <c r="A338" s="1">
        <v>44349</v>
      </c>
      <c r="B338" s="2"/>
      <c r="C338" s="2" t="s">
        <v>4</v>
      </c>
      <c r="D338" s="2">
        <f t="shared" si="12"/>
        <v>0</v>
      </c>
      <c r="E338" s="21">
        <f t="shared" si="11"/>
        <v>0</v>
      </c>
      <c r="F338">
        <v>0</v>
      </c>
    </row>
    <row r="339" spans="1:6" x14ac:dyDescent="0.35">
      <c r="A339" s="1">
        <v>44350</v>
      </c>
      <c r="B339" s="2"/>
      <c r="C339" s="2" t="s">
        <v>4</v>
      </c>
      <c r="D339" s="2">
        <f t="shared" si="12"/>
        <v>0</v>
      </c>
      <c r="E339" s="21">
        <f t="shared" si="11"/>
        <v>0</v>
      </c>
      <c r="F339">
        <v>0</v>
      </c>
    </row>
    <row r="340" spans="1:6" x14ac:dyDescent="0.35">
      <c r="A340" s="1">
        <v>44351</v>
      </c>
      <c r="B340" s="2"/>
      <c r="C340" s="2" t="s">
        <v>4</v>
      </c>
      <c r="D340" s="2">
        <f t="shared" si="12"/>
        <v>0</v>
      </c>
      <c r="E340" s="21">
        <f t="shared" si="11"/>
        <v>0</v>
      </c>
      <c r="F340">
        <v>0</v>
      </c>
    </row>
    <row r="341" spans="1:6" x14ac:dyDescent="0.35">
      <c r="A341" s="1">
        <v>44352</v>
      </c>
      <c r="B341" s="2"/>
      <c r="C341" s="2" t="s">
        <v>4</v>
      </c>
      <c r="D341" s="2">
        <f t="shared" si="12"/>
        <v>0</v>
      </c>
      <c r="E341" s="21">
        <f t="shared" si="11"/>
        <v>0</v>
      </c>
      <c r="F341">
        <v>0</v>
      </c>
    </row>
    <row r="342" spans="1:6" x14ac:dyDescent="0.35">
      <c r="A342" s="1">
        <v>44353</v>
      </c>
      <c r="B342" s="2"/>
      <c r="C342" s="2" t="s">
        <v>4</v>
      </c>
      <c r="D342" s="2">
        <f t="shared" si="12"/>
        <v>0</v>
      </c>
      <c r="E342" s="21">
        <f t="shared" si="11"/>
        <v>0</v>
      </c>
      <c r="F342">
        <v>0</v>
      </c>
    </row>
    <row r="343" spans="1:6" x14ac:dyDescent="0.35">
      <c r="A343" s="1">
        <v>44354</v>
      </c>
      <c r="B343" s="2"/>
      <c r="C343" s="2" t="s">
        <v>4</v>
      </c>
      <c r="D343" s="2">
        <f t="shared" si="12"/>
        <v>0</v>
      </c>
      <c r="E343" s="21">
        <f t="shared" si="11"/>
        <v>0</v>
      </c>
      <c r="F343">
        <v>0</v>
      </c>
    </row>
    <row r="344" spans="1:6" x14ac:dyDescent="0.35">
      <c r="A344" s="1">
        <v>44355</v>
      </c>
      <c r="B344" s="2"/>
      <c r="C344" s="2" t="s">
        <v>4</v>
      </c>
      <c r="D344" s="2">
        <f t="shared" si="12"/>
        <v>0</v>
      </c>
      <c r="E344" s="21">
        <f t="shared" si="11"/>
        <v>0</v>
      </c>
      <c r="F344">
        <v>0</v>
      </c>
    </row>
    <row r="345" spans="1:6" x14ac:dyDescent="0.35">
      <c r="A345" s="1">
        <v>44356</v>
      </c>
      <c r="B345" s="2"/>
      <c r="C345" s="2" t="s">
        <v>4</v>
      </c>
      <c r="D345" s="2">
        <f t="shared" si="12"/>
        <v>0</v>
      </c>
      <c r="E345" s="21">
        <f t="shared" si="11"/>
        <v>0</v>
      </c>
      <c r="F345">
        <v>0</v>
      </c>
    </row>
    <row r="346" spans="1:6" x14ac:dyDescent="0.35">
      <c r="A346" s="1">
        <v>44357</v>
      </c>
      <c r="B346" s="2"/>
      <c r="C346" s="2" t="s">
        <v>4</v>
      </c>
      <c r="D346" s="2">
        <f t="shared" si="12"/>
        <v>0</v>
      </c>
      <c r="E346" s="21">
        <f t="shared" si="11"/>
        <v>0</v>
      </c>
      <c r="F346">
        <v>0</v>
      </c>
    </row>
    <row r="347" spans="1:6" x14ac:dyDescent="0.35">
      <c r="A347" s="1">
        <v>44358</v>
      </c>
      <c r="B347" s="2"/>
      <c r="C347" s="2" t="s">
        <v>4</v>
      </c>
      <c r="D347" s="2">
        <f t="shared" si="12"/>
        <v>0</v>
      </c>
      <c r="E347" s="21">
        <f t="shared" ref="E347:E367" si="13">(D346-D347)*$L$20</f>
        <v>0</v>
      </c>
      <c r="F347">
        <v>0</v>
      </c>
    </row>
    <row r="348" spans="1:6" x14ac:dyDescent="0.35">
      <c r="A348" s="1">
        <v>44359</v>
      </c>
      <c r="B348" s="2"/>
      <c r="C348" s="2" t="s">
        <v>4</v>
      </c>
      <c r="D348" s="2">
        <f t="shared" si="12"/>
        <v>0</v>
      </c>
      <c r="E348" s="21">
        <f t="shared" si="13"/>
        <v>0</v>
      </c>
      <c r="F348">
        <v>0</v>
      </c>
    </row>
    <row r="349" spans="1:6" x14ac:dyDescent="0.35">
      <c r="A349" s="1">
        <v>44360</v>
      </c>
      <c r="B349" s="2"/>
      <c r="C349" s="2" t="s">
        <v>4</v>
      </c>
      <c r="D349" s="2">
        <f t="shared" si="12"/>
        <v>0</v>
      </c>
      <c r="E349" s="21">
        <f t="shared" si="13"/>
        <v>0</v>
      </c>
      <c r="F349">
        <v>0</v>
      </c>
    </row>
    <row r="350" spans="1:6" x14ac:dyDescent="0.35">
      <c r="A350" s="1">
        <v>44361</v>
      </c>
      <c r="B350" s="2"/>
      <c r="C350" s="2" t="s">
        <v>4</v>
      </c>
      <c r="D350" s="2">
        <f t="shared" si="12"/>
        <v>0</v>
      </c>
      <c r="E350" s="21">
        <f t="shared" si="13"/>
        <v>0</v>
      </c>
      <c r="F350">
        <v>0</v>
      </c>
    </row>
    <row r="351" spans="1:6" x14ac:dyDescent="0.35">
      <c r="A351" s="1">
        <v>44362</v>
      </c>
      <c r="B351" s="2"/>
      <c r="C351" s="2" t="s">
        <v>4</v>
      </c>
      <c r="D351" s="2">
        <f t="shared" si="12"/>
        <v>0</v>
      </c>
      <c r="E351" s="21">
        <f t="shared" si="13"/>
        <v>0</v>
      </c>
      <c r="F351">
        <v>0</v>
      </c>
    </row>
    <row r="352" spans="1:6" x14ac:dyDescent="0.35">
      <c r="A352" s="1">
        <v>44363</v>
      </c>
      <c r="B352" s="2"/>
      <c r="C352" s="2" t="s">
        <v>4</v>
      </c>
      <c r="D352" s="2">
        <f t="shared" si="12"/>
        <v>0</v>
      </c>
      <c r="E352" s="21">
        <f t="shared" si="13"/>
        <v>0</v>
      </c>
      <c r="F352">
        <v>0</v>
      </c>
    </row>
    <row r="353" spans="1:6" x14ac:dyDescent="0.35">
      <c r="A353" s="1">
        <v>44364</v>
      </c>
      <c r="B353" s="2"/>
      <c r="C353" s="2" t="s">
        <v>4</v>
      </c>
      <c r="D353" s="2">
        <f t="shared" si="12"/>
        <v>0</v>
      </c>
      <c r="E353" s="21">
        <f t="shared" si="13"/>
        <v>0</v>
      </c>
      <c r="F353">
        <v>0</v>
      </c>
    </row>
    <row r="354" spans="1:6" x14ac:dyDescent="0.35">
      <c r="A354" s="1">
        <v>44365</v>
      </c>
      <c r="B354" s="2"/>
      <c r="C354" s="2" t="s">
        <v>4</v>
      </c>
      <c r="D354" s="2">
        <f t="shared" si="12"/>
        <v>0</v>
      </c>
      <c r="E354" s="21">
        <f t="shared" si="13"/>
        <v>0</v>
      </c>
      <c r="F354">
        <v>0</v>
      </c>
    </row>
    <row r="355" spans="1:6" x14ac:dyDescent="0.35">
      <c r="A355" s="1">
        <v>44366</v>
      </c>
      <c r="B355" s="2"/>
      <c r="C355" s="2" t="s">
        <v>4</v>
      </c>
      <c r="D355" s="2">
        <f t="shared" si="12"/>
        <v>0</v>
      </c>
      <c r="E355" s="21">
        <f t="shared" si="13"/>
        <v>0</v>
      </c>
      <c r="F355">
        <v>0</v>
      </c>
    </row>
    <row r="356" spans="1:6" x14ac:dyDescent="0.35">
      <c r="A356" s="1">
        <v>44367</v>
      </c>
      <c r="B356" s="2"/>
      <c r="C356" s="2" t="s">
        <v>4</v>
      </c>
      <c r="D356" s="2">
        <f t="shared" si="12"/>
        <v>0</v>
      </c>
      <c r="E356" s="21">
        <f t="shared" si="13"/>
        <v>0</v>
      </c>
      <c r="F356">
        <v>0</v>
      </c>
    </row>
    <row r="357" spans="1:6" x14ac:dyDescent="0.35">
      <c r="A357" s="1">
        <v>44368</v>
      </c>
      <c r="B357" s="2"/>
      <c r="C357" s="2" t="s">
        <v>4</v>
      </c>
      <c r="D357" s="2">
        <f t="shared" si="12"/>
        <v>0</v>
      </c>
      <c r="E357" s="21">
        <f t="shared" si="13"/>
        <v>0</v>
      </c>
      <c r="F357">
        <v>0</v>
      </c>
    </row>
    <row r="358" spans="1:6" x14ac:dyDescent="0.35">
      <c r="A358" s="1">
        <v>44369</v>
      </c>
      <c r="B358" s="2"/>
      <c r="C358" s="2" t="s">
        <v>4</v>
      </c>
      <c r="D358" s="2">
        <f t="shared" si="12"/>
        <v>0</v>
      </c>
      <c r="E358" s="21">
        <f t="shared" si="13"/>
        <v>0</v>
      </c>
      <c r="F358">
        <v>0</v>
      </c>
    </row>
    <row r="359" spans="1:6" x14ac:dyDescent="0.35">
      <c r="A359" s="1">
        <v>44370</v>
      </c>
      <c r="B359" s="2"/>
      <c r="C359" s="2" t="s">
        <v>4</v>
      </c>
      <c r="D359" s="2">
        <f t="shared" si="12"/>
        <v>0</v>
      </c>
      <c r="E359" s="21">
        <f t="shared" si="13"/>
        <v>0</v>
      </c>
      <c r="F359">
        <v>0</v>
      </c>
    </row>
    <row r="360" spans="1:6" x14ac:dyDescent="0.35">
      <c r="A360" s="1">
        <v>44371</v>
      </c>
      <c r="B360" s="2"/>
      <c r="C360" s="2" t="s">
        <v>4</v>
      </c>
      <c r="D360" s="2">
        <f t="shared" si="12"/>
        <v>0</v>
      </c>
      <c r="E360" s="21">
        <f t="shared" si="13"/>
        <v>0</v>
      </c>
      <c r="F360">
        <v>0</v>
      </c>
    </row>
    <row r="361" spans="1:6" x14ac:dyDescent="0.35">
      <c r="A361" s="1">
        <v>44372</v>
      </c>
      <c r="B361" s="2"/>
      <c r="C361" s="2" t="s">
        <v>4</v>
      </c>
      <c r="D361" s="2">
        <f t="shared" si="12"/>
        <v>0</v>
      </c>
      <c r="E361" s="21">
        <f t="shared" si="13"/>
        <v>0</v>
      </c>
      <c r="F361">
        <v>0</v>
      </c>
    </row>
    <row r="362" spans="1:6" x14ac:dyDescent="0.35">
      <c r="A362" s="1">
        <v>44373</v>
      </c>
      <c r="B362" s="2"/>
      <c r="C362" s="2" t="s">
        <v>4</v>
      </c>
      <c r="D362" s="2">
        <f t="shared" si="12"/>
        <v>0</v>
      </c>
      <c r="E362" s="21">
        <f t="shared" si="13"/>
        <v>0</v>
      </c>
      <c r="F362">
        <v>0</v>
      </c>
    </row>
    <row r="363" spans="1:6" x14ac:dyDescent="0.35">
      <c r="A363" s="1">
        <v>44374</v>
      </c>
      <c r="B363" s="2"/>
      <c r="C363" s="2" t="s">
        <v>4</v>
      </c>
      <c r="D363" s="2">
        <f t="shared" si="12"/>
        <v>0</v>
      </c>
      <c r="E363" s="21">
        <f t="shared" si="13"/>
        <v>0</v>
      </c>
      <c r="F363">
        <v>0</v>
      </c>
    </row>
    <row r="364" spans="1:6" x14ac:dyDescent="0.35">
      <c r="A364" s="1">
        <v>44375</v>
      </c>
      <c r="B364" s="2"/>
      <c r="C364" s="2" t="s">
        <v>4</v>
      </c>
      <c r="D364" s="2">
        <f t="shared" si="12"/>
        <v>0</v>
      </c>
      <c r="E364" s="21">
        <f t="shared" si="13"/>
        <v>0</v>
      </c>
      <c r="F364">
        <v>0</v>
      </c>
    </row>
    <row r="365" spans="1:6" x14ac:dyDescent="0.35">
      <c r="A365" s="1">
        <v>44376</v>
      </c>
      <c r="B365" s="2"/>
      <c r="C365" s="2" t="s">
        <v>4</v>
      </c>
      <c r="D365" s="2">
        <f t="shared" si="12"/>
        <v>0</v>
      </c>
      <c r="E365" s="21">
        <f t="shared" si="13"/>
        <v>0</v>
      </c>
      <c r="F365">
        <v>0</v>
      </c>
    </row>
    <row r="366" spans="1:6" x14ac:dyDescent="0.35">
      <c r="A366" s="1">
        <v>44377</v>
      </c>
      <c r="B366" s="2"/>
      <c r="C366" s="2" t="s">
        <v>4</v>
      </c>
      <c r="D366" s="2">
        <f t="shared" si="12"/>
        <v>0</v>
      </c>
      <c r="E366" s="21">
        <f t="shared" si="13"/>
        <v>0</v>
      </c>
      <c r="F366">
        <v>0</v>
      </c>
    </row>
    <row r="367" spans="1:6" x14ac:dyDescent="0.35">
      <c r="A367" s="1">
        <v>44378</v>
      </c>
      <c r="B367" s="2"/>
      <c r="C367" s="2" t="s">
        <v>4</v>
      </c>
      <c r="D367" s="2">
        <f t="shared" si="12"/>
        <v>0</v>
      </c>
      <c r="E367" s="21">
        <f t="shared" si="13"/>
        <v>0</v>
      </c>
      <c r="F367">
        <v>0</v>
      </c>
    </row>
    <row r="368" spans="1:6" x14ac:dyDescent="0.35">
      <c r="A368" s="2"/>
      <c r="B368" s="2"/>
      <c r="C368" s="2"/>
      <c r="D368" s="2"/>
      <c r="E368" s="2" t="s">
        <v>0</v>
      </c>
    </row>
    <row r="369" spans="1:5" x14ac:dyDescent="0.35">
      <c r="A369" s="2" t="s">
        <v>29</v>
      </c>
      <c r="B369" s="2"/>
      <c r="C369" s="2"/>
      <c r="D369" s="2"/>
      <c r="E369" s="3">
        <f>NPV(0.045,E2:E367,A2:A367)</f>
        <v>2822848.2011002651</v>
      </c>
    </row>
    <row r="370" spans="1:5" x14ac:dyDescent="0.35">
      <c r="A370" s="1" t="s">
        <v>2</v>
      </c>
      <c r="B370" s="2"/>
      <c r="C370" s="2"/>
      <c r="D370" s="2"/>
      <c r="E370" s="29">
        <f>NPV(0.1,F2:F185,A2:A185)*1000</f>
        <v>1992.5922619458215</v>
      </c>
    </row>
    <row r="371" spans="1:5" x14ac:dyDescent="0.35">
      <c r="A371" s="2" t="s">
        <v>30</v>
      </c>
      <c r="B371" s="2"/>
      <c r="C371" s="2"/>
      <c r="D371" s="2"/>
      <c r="E371" s="3">
        <f>E369*1000</f>
        <v>2822848201.100265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Текущий контракт</vt:lpstr>
      <vt:lpstr>Предложение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Levchenko Aleksey R.</dc:creator>
  <cp:lastModifiedBy>Levchenko Aleksey R.</cp:lastModifiedBy>
  <dcterms:created xsi:type="dcterms:W3CDTF">2015-06-05T18:17:20Z</dcterms:created>
  <dcterms:modified xsi:type="dcterms:W3CDTF">2023-07-02T09:12:51Z</dcterms:modified>
</cp:coreProperties>
</file>