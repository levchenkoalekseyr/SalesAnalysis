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evchenko_ar\Desktop\"/>
    </mc:Choice>
  </mc:AlternateContent>
  <xr:revisionPtr revIDLastSave="0" documentId="13_ncr:1_{8A284931-57D8-4D28-BFCC-5C8E334896E2}" xr6:coauthVersionLast="47" xr6:coauthVersionMax="47" xr10:uidLastSave="{00000000-0000-0000-0000-000000000000}"/>
  <bookViews>
    <workbookView xWindow="-108" yWindow="-108" windowWidth="23256" windowHeight="12456" tabRatio="761" activeTab="1" xr2:uid="{00000000-000D-0000-FFFF-FFFF00000000}"/>
  </bookViews>
  <sheets>
    <sheet name="Данные" sheetId="4" r:id="rId1"/>
    <sheet name="График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6" l="1" a="1"/>
  <c r="E2" i="6" s="1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2" i="6"/>
  <c r="A2" i="6" a="1"/>
  <c r="A2" i="6" s="1"/>
  <c r="G277" i="4"/>
  <c r="G278" i="4" s="1"/>
  <c r="G279" i="4" s="1"/>
  <c r="G280" i="4" s="1"/>
  <c r="G281" i="4" s="1"/>
  <c r="G282" i="4" s="1"/>
  <c r="G283" i="4" s="1"/>
  <c r="G284" i="4" s="1"/>
  <c r="G285" i="4" s="1"/>
  <c r="G286" i="4" s="1"/>
  <c r="G287" i="4" s="1"/>
  <c r="G288" i="4" s="1"/>
  <c r="G289" i="4" s="1"/>
  <c r="G290" i="4" s="1"/>
  <c r="G291" i="4" s="1"/>
  <c r="G292" i="4" s="1"/>
  <c r="G293" i="4" s="1"/>
  <c r="G294" i="4" s="1"/>
  <c r="G295" i="4" s="1"/>
  <c r="G296" i="4" s="1"/>
  <c r="G297" i="4" s="1"/>
  <c r="G298" i="4" s="1"/>
  <c r="G299" i="4" s="1"/>
  <c r="G300" i="4" s="1"/>
  <c r="G301" i="4" s="1"/>
  <c r="G302" i="4" s="1"/>
  <c r="G303" i="4" s="1"/>
  <c r="G304" i="4" s="1"/>
  <c r="G305" i="4" s="1"/>
  <c r="G306" i="4" s="1"/>
  <c r="G307" i="4" s="1"/>
  <c r="G308" i="4" s="1"/>
  <c r="G309" i="4" s="1"/>
  <c r="G310" i="4" s="1"/>
  <c r="G311" i="4" s="1"/>
  <c r="G312" i="4" s="1"/>
  <c r="G313" i="4" s="1"/>
  <c r="G314" i="4" s="1"/>
  <c r="G315" i="4" s="1"/>
  <c r="G316" i="4" s="1"/>
  <c r="G317" i="4" s="1"/>
  <c r="G318" i="4" s="1"/>
  <c r="G319" i="4" s="1"/>
  <c r="G320" i="4" s="1"/>
  <c r="G321" i="4" s="1"/>
  <c r="G322" i="4" s="1"/>
  <c r="G323" i="4" s="1"/>
  <c r="G324" i="4" s="1"/>
  <c r="G325" i="4" s="1"/>
  <c r="G326" i="4" s="1"/>
  <c r="G327" i="4" s="1"/>
  <c r="G328" i="4" s="1"/>
  <c r="G329" i="4" s="1"/>
  <c r="G330" i="4" s="1"/>
  <c r="G331" i="4" s="1"/>
  <c r="G332" i="4" s="1"/>
  <c r="G333" i="4" s="1"/>
  <c r="G334" i="4" s="1"/>
  <c r="G335" i="4" s="1"/>
  <c r="G336" i="4" s="1"/>
  <c r="G337" i="4" s="1"/>
  <c r="G338" i="4" s="1"/>
  <c r="G339" i="4" s="1"/>
  <c r="G340" i="4" s="1"/>
  <c r="G341" i="4" s="1"/>
  <c r="G342" i="4" s="1"/>
  <c r="G343" i="4" s="1"/>
  <c r="G344" i="4" s="1"/>
  <c r="G345" i="4" s="1"/>
  <c r="G346" i="4" s="1"/>
  <c r="G347" i="4" s="1"/>
  <c r="G348" i="4" s="1"/>
  <c r="G349" i="4" s="1"/>
  <c r="G350" i="4" s="1"/>
  <c r="G351" i="4" s="1"/>
  <c r="G352" i="4" s="1"/>
  <c r="G353" i="4" s="1"/>
  <c r="G354" i="4" s="1"/>
  <c r="G355" i="4" s="1"/>
  <c r="G356" i="4" s="1"/>
  <c r="G357" i="4" s="1"/>
  <c r="G358" i="4" s="1"/>
  <c r="G359" i="4" s="1"/>
  <c r="G360" i="4" s="1"/>
  <c r="G361" i="4" s="1"/>
  <c r="G362" i="4" s="1"/>
  <c r="G363" i="4" s="1"/>
  <c r="G364" i="4" s="1"/>
  <c r="G365" i="4" s="1"/>
  <c r="G366" i="4" s="1"/>
  <c r="G276" i="4"/>
  <c r="I366" i="4"/>
  <c r="J277" i="4"/>
  <c r="J278" i="4"/>
  <c r="J279" i="4"/>
  <c r="J280" i="4" s="1"/>
  <c r="J281" i="4" s="1"/>
  <c r="J282" i="4" s="1"/>
  <c r="J283" i="4" s="1"/>
  <c r="J284" i="4" s="1"/>
  <c r="J285" i="4" s="1"/>
  <c r="J286" i="4" s="1"/>
  <c r="J287" i="4" s="1"/>
  <c r="J288" i="4" s="1"/>
  <c r="J289" i="4" s="1"/>
  <c r="J290" i="4" s="1"/>
  <c r="J291" i="4" s="1"/>
  <c r="J292" i="4" s="1"/>
  <c r="J293" i="4" s="1"/>
  <c r="J294" i="4" s="1"/>
  <c r="J295" i="4" s="1"/>
  <c r="J296" i="4" s="1"/>
  <c r="J297" i="4" s="1"/>
  <c r="J298" i="4" s="1"/>
  <c r="J299" i="4" s="1"/>
  <c r="J300" i="4" s="1"/>
  <c r="J301" i="4" s="1"/>
  <c r="J302" i="4" s="1"/>
  <c r="J303" i="4" s="1"/>
  <c r="J304" i="4" s="1"/>
  <c r="J305" i="4" s="1"/>
  <c r="J306" i="4" s="1"/>
  <c r="J307" i="4" s="1"/>
  <c r="J308" i="4" s="1"/>
  <c r="J309" i="4" s="1"/>
  <c r="J310" i="4" s="1"/>
  <c r="J311" i="4" s="1"/>
  <c r="J312" i="4" s="1"/>
  <c r="J313" i="4" s="1"/>
  <c r="J314" i="4" s="1"/>
  <c r="J315" i="4" s="1"/>
  <c r="J316" i="4" s="1"/>
  <c r="J317" i="4" s="1"/>
  <c r="J318" i="4" s="1"/>
  <c r="J319" i="4" s="1"/>
  <c r="J320" i="4" s="1"/>
  <c r="J321" i="4" s="1"/>
  <c r="J322" i="4" s="1"/>
  <c r="J323" i="4" s="1"/>
  <c r="J324" i="4" s="1"/>
  <c r="J325" i="4" s="1"/>
  <c r="J326" i="4" s="1"/>
  <c r="J327" i="4" s="1"/>
  <c r="J328" i="4" s="1"/>
  <c r="J329" i="4" s="1"/>
  <c r="J330" i="4" s="1"/>
  <c r="J331" i="4" s="1"/>
  <c r="J332" i="4" s="1"/>
  <c r="J333" i="4" s="1"/>
  <c r="J334" i="4" s="1"/>
  <c r="J335" i="4" s="1"/>
  <c r="J336" i="4" s="1"/>
  <c r="J337" i="4" s="1"/>
  <c r="J338" i="4" s="1"/>
  <c r="J339" i="4" s="1"/>
  <c r="J340" i="4" s="1"/>
  <c r="J341" i="4" s="1"/>
  <c r="J342" i="4" s="1"/>
  <c r="J343" i="4" s="1"/>
  <c r="J344" i="4" s="1"/>
  <c r="J345" i="4" s="1"/>
  <c r="J346" i="4" s="1"/>
  <c r="J347" i="4" s="1"/>
  <c r="J348" i="4" s="1"/>
  <c r="J349" i="4" s="1"/>
  <c r="J350" i="4" s="1"/>
  <c r="J351" i="4" s="1"/>
  <c r="J352" i="4" s="1"/>
  <c r="J353" i="4" s="1"/>
  <c r="J354" i="4" s="1"/>
  <c r="J355" i="4" s="1"/>
  <c r="J356" i="4" s="1"/>
  <c r="J357" i="4" s="1"/>
  <c r="J358" i="4" s="1"/>
  <c r="J359" i="4" s="1"/>
  <c r="J360" i="4" s="1"/>
  <c r="J361" i="4" s="1"/>
  <c r="J362" i="4" s="1"/>
  <c r="J363" i="4" s="1"/>
  <c r="J364" i="4" s="1"/>
  <c r="J365" i="4" s="1"/>
  <c r="J366" i="4" s="1"/>
  <c r="J276" i="4"/>
  <c r="J275" i="4"/>
  <c r="J217" i="4"/>
  <c r="J218" i="4" s="1"/>
  <c r="J219" i="4" s="1"/>
  <c r="J220" i="4" s="1"/>
  <c r="J221" i="4" s="1"/>
  <c r="J222" i="4" s="1"/>
  <c r="J223" i="4" s="1"/>
  <c r="J224" i="4" s="1"/>
  <c r="J225" i="4" s="1"/>
  <c r="J226" i="4" s="1"/>
  <c r="J227" i="4" s="1"/>
  <c r="J228" i="4" s="1"/>
  <c r="J229" i="4" s="1"/>
  <c r="J230" i="4" s="1"/>
  <c r="J231" i="4" s="1"/>
  <c r="J232" i="4" s="1"/>
  <c r="J233" i="4" s="1"/>
  <c r="J234" i="4" s="1"/>
  <c r="J235" i="4" s="1"/>
  <c r="J236" i="4" s="1"/>
  <c r="J237" i="4" s="1"/>
  <c r="J238" i="4" s="1"/>
  <c r="J239" i="4" s="1"/>
  <c r="J240" i="4" s="1"/>
  <c r="J241" i="4" s="1"/>
  <c r="J242" i="4" s="1"/>
  <c r="J243" i="4" s="1"/>
  <c r="J244" i="4" s="1"/>
  <c r="J245" i="4" s="1"/>
  <c r="J246" i="4" s="1"/>
  <c r="J247" i="4" s="1"/>
  <c r="J248" i="4" s="1"/>
  <c r="J249" i="4" s="1"/>
  <c r="J250" i="4" s="1"/>
  <c r="J251" i="4" s="1"/>
  <c r="J252" i="4" s="1"/>
  <c r="J253" i="4" s="1"/>
  <c r="J254" i="4" s="1"/>
  <c r="J255" i="4" s="1"/>
  <c r="J256" i="4" s="1"/>
  <c r="J257" i="4" s="1"/>
  <c r="J258" i="4" s="1"/>
  <c r="J259" i="4" s="1"/>
  <c r="J260" i="4" s="1"/>
  <c r="J261" i="4" s="1"/>
  <c r="J262" i="4" s="1"/>
  <c r="J263" i="4" s="1"/>
  <c r="J264" i="4" s="1"/>
  <c r="J265" i="4" s="1"/>
  <c r="J266" i="4" s="1"/>
  <c r="J267" i="4" s="1"/>
  <c r="J268" i="4" s="1"/>
  <c r="J269" i="4" s="1"/>
  <c r="J270" i="4" s="1"/>
  <c r="J271" i="4" s="1"/>
  <c r="J272" i="4" s="1"/>
  <c r="J273" i="4" s="1"/>
  <c r="J274" i="4" s="1"/>
  <c r="J201" i="4"/>
  <c r="J202" i="4" s="1"/>
  <c r="J203" i="4" s="1"/>
  <c r="J204" i="4" s="1"/>
  <c r="J205" i="4" s="1"/>
  <c r="J206" i="4" s="1"/>
  <c r="J207" i="4" s="1"/>
  <c r="J208" i="4" s="1"/>
  <c r="J209" i="4" s="1"/>
  <c r="J210" i="4" s="1"/>
  <c r="J211" i="4" s="1"/>
  <c r="J212" i="4" s="1"/>
  <c r="J213" i="4" s="1"/>
  <c r="J214" i="4" s="1"/>
  <c r="J215" i="4" s="1"/>
  <c r="J216" i="4" s="1"/>
  <c r="J184" i="4"/>
  <c r="J185" i="4" s="1"/>
  <c r="J186" i="4" s="1"/>
  <c r="J187" i="4" s="1"/>
  <c r="J188" i="4" s="1"/>
  <c r="J189" i="4" s="1"/>
  <c r="J190" i="4" s="1"/>
  <c r="J191" i="4" s="1"/>
  <c r="J192" i="4" s="1"/>
  <c r="J193" i="4" s="1"/>
  <c r="J194" i="4" s="1"/>
  <c r="J195" i="4" s="1"/>
  <c r="J196" i="4" s="1"/>
  <c r="J197" i="4" s="1"/>
  <c r="J198" i="4" s="1"/>
  <c r="J199" i="4" s="1"/>
  <c r="J200" i="4" s="1"/>
  <c r="J183" i="4"/>
  <c r="J2" i="4"/>
  <c r="J3" i="4" s="1"/>
  <c r="J4" i="4" s="1"/>
  <c r="J5" i="4" s="1"/>
  <c r="J6" i="4" s="1"/>
  <c r="J7" i="4" s="1"/>
  <c r="J8" i="4" s="1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J56" i="4" s="1"/>
  <c r="J57" i="4" s="1"/>
  <c r="J58" i="4" s="1"/>
  <c r="J59" i="4" s="1"/>
  <c r="J60" i="4" s="1"/>
  <c r="J61" i="4" s="1"/>
  <c r="J62" i="4" s="1"/>
  <c r="J63" i="4" s="1"/>
  <c r="J64" i="4" s="1"/>
  <c r="J65" i="4" s="1"/>
  <c r="J66" i="4" s="1"/>
  <c r="J67" i="4" s="1"/>
  <c r="J68" i="4" s="1"/>
  <c r="J69" i="4" s="1"/>
  <c r="J70" i="4" s="1"/>
  <c r="J71" i="4" s="1"/>
  <c r="J72" i="4" s="1"/>
  <c r="J73" i="4" s="1"/>
  <c r="J74" i="4" s="1"/>
  <c r="J75" i="4" s="1"/>
  <c r="J76" i="4" s="1"/>
  <c r="J77" i="4" s="1"/>
  <c r="J78" i="4" s="1"/>
  <c r="J79" i="4" s="1"/>
  <c r="J80" i="4" s="1"/>
  <c r="J81" i="4" s="1"/>
  <c r="J82" i="4" s="1"/>
  <c r="J83" i="4" s="1"/>
  <c r="J84" i="4" s="1"/>
  <c r="J85" i="4" s="1"/>
  <c r="J86" i="4" s="1"/>
  <c r="J87" i="4" s="1"/>
  <c r="J88" i="4" s="1"/>
  <c r="J89" i="4" s="1"/>
  <c r="J90" i="4" s="1"/>
  <c r="J91" i="4" s="1"/>
  <c r="J92" i="4" s="1"/>
  <c r="J93" i="4" s="1"/>
  <c r="J94" i="4" s="1"/>
  <c r="J95" i="4" s="1"/>
  <c r="J96" i="4" s="1"/>
  <c r="J97" i="4" s="1"/>
  <c r="J98" i="4" s="1"/>
  <c r="J99" i="4" s="1"/>
  <c r="J100" i="4" s="1"/>
  <c r="J101" i="4" s="1"/>
  <c r="J102" i="4" s="1"/>
  <c r="J103" i="4" s="1"/>
  <c r="J104" i="4" s="1"/>
  <c r="J105" i="4" s="1"/>
  <c r="J106" i="4" s="1"/>
  <c r="J107" i="4" s="1"/>
  <c r="J108" i="4" s="1"/>
  <c r="J109" i="4" s="1"/>
  <c r="J110" i="4" s="1"/>
  <c r="J111" i="4" s="1"/>
  <c r="J112" i="4" s="1"/>
  <c r="J113" i="4" s="1"/>
  <c r="J114" i="4" s="1"/>
  <c r="J115" i="4" s="1"/>
  <c r="J116" i="4" s="1"/>
  <c r="J117" i="4" s="1"/>
  <c r="J118" i="4" s="1"/>
  <c r="J119" i="4" s="1"/>
  <c r="J120" i="4" s="1"/>
  <c r="J121" i="4" s="1"/>
  <c r="J122" i="4" s="1"/>
  <c r="J123" i="4" s="1"/>
  <c r="J124" i="4" s="1"/>
  <c r="J125" i="4" s="1"/>
  <c r="J126" i="4" s="1"/>
  <c r="J127" i="4" s="1"/>
  <c r="J128" i="4" s="1"/>
  <c r="J129" i="4" s="1"/>
  <c r="J130" i="4" s="1"/>
  <c r="J131" i="4" s="1"/>
  <c r="J132" i="4" s="1"/>
  <c r="J133" i="4" s="1"/>
  <c r="J134" i="4" s="1"/>
  <c r="J135" i="4" s="1"/>
  <c r="J136" i="4" s="1"/>
  <c r="J137" i="4" s="1"/>
  <c r="J138" i="4" s="1"/>
  <c r="J139" i="4" s="1"/>
  <c r="J140" i="4" s="1"/>
  <c r="J141" i="4" s="1"/>
  <c r="J142" i="4" s="1"/>
  <c r="J143" i="4" s="1"/>
  <c r="J144" i="4" s="1"/>
  <c r="J145" i="4" s="1"/>
  <c r="J146" i="4" s="1"/>
  <c r="J147" i="4" s="1"/>
  <c r="J148" i="4" s="1"/>
  <c r="J149" i="4" s="1"/>
  <c r="J150" i="4" s="1"/>
  <c r="J151" i="4" s="1"/>
  <c r="J152" i="4" s="1"/>
  <c r="J153" i="4" s="1"/>
  <c r="J154" i="4" s="1"/>
  <c r="J155" i="4" s="1"/>
  <c r="J156" i="4" s="1"/>
  <c r="J157" i="4" s="1"/>
  <c r="J158" i="4" s="1"/>
  <c r="J159" i="4" s="1"/>
  <c r="J160" i="4" s="1"/>
  <c r="J161" i="4" s="1"/>
  <c r="J162" i="4" s="1"/>
  <c r="J163" i="4" s="1"/>
  <c r="J164" i="4" s="1"/>
  <c r="J165" i="4" s="1"/>
  <c r="J166" i="4" s="1"/>
  <c r="J167" i="4" s="1"/>
  <c r="J168" i="4" s="1"/>
  <c r="J169" i="4" s="1"/>
  <c r="J170" i="4" s="1"/>
  <c r="J171" i="4" s="1"/>
  <c r="J172" i="4" s="1"/>
  <c r="J173" i="4" s="1"/>
  <c r="J174" i="4" s="1"/>
  <c r="J175" i="4" s="1"/>
  <c r="J176" i="4" s="1"/>
  <c r="J177" i="4" s="1"/>
  <c r="J178" i="4" s="1"/>
  <c r="J179" i="4" s="1"/>
  <c r="J180" i="4" s="1"/>
  <c r="J181" i="4" s="1"/>
  <c r="J182" i="4" s="1"/>
  <c r="H366" i="4"/>
  <c r="H365" i="4" s="1"/>
  <c r="H364" i="4" s="1"/>
  <c r="H363" i="4" s="1"/>
  <c r="H362" i="4" s="1"/>
  <c r="H361" i="4" s="1"/>
  <c r="H360" i="4" s="1"/>
  <c r="H359" i="4" s="1"/>
  <c r="H358" i="4" s="1"/>
  <c r="H357" i="4" s="1"/>
  <c r="H356" i="4" s="1"/>
  <c r="H355" i="4" s="1"/>
  <c r="H354" i="4" s="1"/>
  <c r="H353" i="4" s="1"/>
  <c r="H352" i="4" s="1"/>
  <c r="H351" i="4" s="1"/>
  <c r="H350" i="4" s="1"/>
  <c r="H349" i="4" s="1"/>
  <c r="H348" i="4" s="1"/>
  <c r="H347" i="4" s="1"/>
  <c r="H346" i="4" s="1"/>
  <c r="H345" i="4" s="1"/>
  <c r="H344" i="4" s="1"/>
  <c r="H343" i="4" s="1"/>
  <c r="H342" i="4" s="1"/>
  <c r="H341" i="4" s="1"/>
  <c r="H340" i="4" s="1"/>
  <c r="H339" i="4" s="1"/>
  <c r="H338" i="4" s="1"/>
  <c r="H337" i="4" s="1"/>
  <c r="H336" i="4" s="1"/>
  <c r="H335" i="4" s="1"/>
  <c r="H334" i="4" s="1"/>
  <c r="H333" i="4" s="1"/>
  <c r="H332" i="4" s="1"/>
  <c r="H331" i="4" s="1"/>
  <c r="H330" i="4" s="1"/>
  <c r="H329" i="4" s="1"/>
  <c r="H328" i="4" s="1"/>
  <c r="H327" i="4" s="1"/>
  <c r="H326" i="4" s="1"/>
  <c r="H325" i="4" s="1"/>
  <c r="H324" i="4" s="1"/>
  <c r="H323" i="4" s="1"/>
  <c r="H322" i="4" s="1"/>
  <c r="H321" i="4" s="1"/>
  <c r="H320" i="4" s="1"/>
  <c r="H319" i="4" s="1"/>
  <c r="H318" i="4" s="1"/>
  <c r="H317" i="4" s="1"/>
  <c r="H316" i="4" s="1"/>
  <c r="H315" i="4" s="1"/>
  <c r="H314" i="4" s="1"/>
  <c r="H313" i="4" s="1"/>
  <c r="H312" i="4" s="1"/>
  <c r="H311" i="4" s="1"/>
  <c r="H310" i="4" s="1"/>
  <c r="H309" i="4" s="1"/>
  <c r="H308" i="4" s="1"/>
  <c r="H307" i="4" s="1"/>
  <c r="H306" i="4" s="1"/>
  <c r="H305" i="4" s="1"/>
  <c r="H304" i="4" s="1"/>
  <c r="H303" i="4" s="1"/>
  <c r="H302" i="4" s="1"/>
  <c r="H301" i="4" s="1"/>
  <c r="H300" i="4" s="1"/>
  <c r="H299" i="4" s="1"/>
  <c r="H298" i="4" s="1"/>
  <c r="H297" i="4" s="1"/>
  <c r="H296" i="4" s="1"/>
  <c r="H295" i="4" s="1"/>
  <c r="H294" i="4" s="1"/>
  <c r="H293" i="4" s="1"/>
  <c r="H292" i="4" s="1"/>
  <c r="H291" i="4" s="1"/>
  <c r="H290" i="4" s="1"/>
  <c r="H289" i="4" s="1"/>
  <c r="H288" i="4" s="1"/>
  <c r="H287" i="4" s="1"/>
  <c r="H286" i="4" s="1"/>
  <c r="H285" i="4" s="1"/>
  <c r="H284" i="4" s="1"/>
  <c r="H283" i="4" s="1"/>
  <c r="H282" i="4" s="1"/>
  <c r="H281" i="4" s="1"/>
  <c r="H280" i="4" s="1"/>
  <c r="H279" i="4" s="1"/>
  <c r="H278" i="4" s="1"/>
  <c r="H277" i="4" s="1"/>
  <c r="H276" i="4" s="1"/>
  <c r="H275" i="4" s="1"/>
  <c r="H274" i="4"/>
  <c r="H273" i="4" s="1"/>
  <c r="H272" i="4" s="1"/>
  <c r="H271" i="4" s="1"/>
  <c r="H270" i="4" s="1"/>
  <c r="H269" i="4" s="1"/>
  <c r="H268" i="4" s="1"/>
  <c r="H267" i="4" s="1"/>
  <c r="H266" i="4" s="1"/>
  <c r="H265" i="4" s="1"/>
  <c r="H264" i="4" s="1"/>
  <c r="H263" i="4" s="1"/>
  <c r="H262" i="4" s="1"/>
  <c r="H261" i="4" s="1"/>
  <c r="H260" i="4" s="1"/>
  <c r="H259" i="4" s="1"/>
  <c r="H258" i="4" s="1"/>
  <c r="H257" i="4" s="1"/>
  <c r="H256" i="4" s="1"/>
  <c r="H255" i="4" s="1"/>
  <c r="H254" i="4" s="1"/>
  <c r="H253" i="4" s="1"/>
  <c r="H252" i="4" s="1"/>
  <c r="H251" i="4" s="1"/>
  <c r="H250" i="4" s="1"/>
  <c r="H249" i="4" s="1"/>
  <c r="H248" i="4" s="1"/>
  <c r="H247" i="4" s="1"/>
  <c r="H246" i="4" s="1"/>
  <c r="H245" i="4" s="1"/>
  <c r="H244" i="4" s="1"/>
  <c r="H243" i="4" s="1"/>
  <c r="H242" i="4" s="1"/>
  <c r="H241" i="4" s="1"/>
  <c r="H240" i="4" s="1"/>
  <c r="H239" i="4" s="1"/>
  <c r="H238" i="4" s="1"/>
  <c r="H237" i="4" s="1"/>
  <c r="H236" i="4" s="1"/>
  <c r="H235" i="4" s="1"/>
  <c r="H234" i="4" s="1"/>
  <c r="H233" i="4" s="1"/>
  <c r="H232" i="4" s="1"/>
  <c r="H231" i="4" s="1"/>
  <c r="H230" i="4" s="1"/>
  <c r="H229" i="4" s="1"/>
  <c r="H228" i="4" s="1"/>
  <c r="H227" i="4" s="1"/>
  <c r="H226" i="4" s="1"/>
  <c r="H225" i="4" s="1"/>
  <c r="H224" i="4" s="1"/>
  <c r="H223" i="4" s="1"/>
  <c r="H222" i="4" s="1"/>
  <c r="H221" i="4" s="1"/>
  <c r="H220" i="4" s="1"/>
  <c r="H219" i="4" s="1"/>
  <c r="H218" i="4" s="1"/>
  <c r="H217" i="4" s="1"/>
  <c r="H216" i="4" s="1"/>
  <c r="H215" i="4" s="1"/>
  <c r="H214" i="4" s="1"/>
  <c r="H213" i="4" s="1"/>
  <c r="H212" i="4" s="1"/>
  <c r="H211" i="4" s="1"/>
  <c r="H210" i="4" s="1"/>
  <c r="H209" i="4" s="1"/>
  <c r="H208" i="4" s="1"/>
  <c r="H207" i="4" s="1"/>
  <c r="H206" i="4" s="1"/>
  <c r="H205" i="4" s="1"/>
  <c r="H204" i="4" s="1"/>
  <c r="H203" i="4" s="1"/>
  <c r="H202" i="4" s="1"/>
  <c r="H201" i="4" s="1"/>
  <c r="H200" i="4" s="1"/>
  <c r="H199" i="4" s="1"/>
  <c r="H198" i="4" s="1"/>
  <c r="H197" i="4" s="1"/>
  <c r="H196" i="4" s="1"/>
  <c r="H195" i="4" s="1"/>
  <c r="H194" i="4" s="1"/>
  <c r="H193" i="4" s="1"/>
  <c r="H192" i="4" s="1"/>
  <c r="H191" i="4" s="1"/>
  <c r="H190" i="4" s="1"/>
  <c r="H189" i="4" s="1"/>
  <c r="H188" i="4" s="1"/>
  <c r="H187" i="4" s="1"/>
  <c r="H186" i="4" s="1"/>
  <c r="H185" i="4" s="1"/>
  <c r="H184" i="4" s="1"/>
  <c r="H183" i="4" s="1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 s="1"/>
  <c r="H89" i="4" s="1"/>
  <c r="H88" i="4" s="1"/>
  <c r="H87" i="4" s="1"/>
  <c r="H86" i="4" s="1"/>
  <c r="H85" i="4" s="1"/>
  <c r="H84" i="4" s="1"/>
  <c r="H83" i="4" s="1"/>
  <c r="H82" i="4" s="1"/>
  <c r="H81" i="4" s="1"/>
  <c r="H80" i="4" s="1"/>
  <c r="H79" i="4" s="1"/>
  <c r="H78" i="4" s="1"/>
  <c r="H77" i="4" s="1"/>
  <c r="H76" i="4" s="1"/>
  <c r="H75" i="4" s="1"/>
  <c r="H74" i="4" s="1"/>
  <c r="H73" i="4" s="1"/>
  <c r="H72" i="4" s="1"/>
  <c r="H71" i="4" s="1"/>
  <c r="H70" i="4" s="1"/>
  <c r="H69" i="4" s="1"/>
  <c r="H68" i="4" s="1"/>
  <c r="H67" i="4" s="1"/>
  <c r="H66" i="4" s="1"/>
  <c r="H65" i="4" s="1"/>
  <c r="H64" i="4" s="1"/>
  <c r="H63" i="4" s="1"/>
  <c r="H62" i="4" s="1"/>
  <c r="H61" i="4" s="1"/>
  <c r="H60" i="4" s="1"/>
  <c r="H59" i="4" s="1"/>
  <c r="H58" i="4" s="1"/>
  <c r="H57" i="4" s="1"/>
  <c r="H56" i="4" s="1"/>
  <c r="H55" i="4" s="1"/>
  <c r="H54" i="4" s="1"/>
  <c r="H53" i="4" s="1"/>
  <c r="H52" i="4" s="1"/>
  <c r="H51" i="4" s="1"/>
  <c r="H50" i="4" s="1"/>
  <c r="H49" i="4" s="1"/>
  <c r="H48" i="4" s="1"/>
  <c r="H47" i="4" s="1"/>
  <c r="H46" i="4" s="1"/>
  <c r="H45" i="4" s="1"/>
  <c r="H44" i="4" s="1"/>
  <c r="H43" i="4" s="1"/>
  <c r="H42" i="4" s="1"/>
  <c r="H41" i="4" s="1"/>
  <c r="H40" i="4" s="1"/>
  <c r="H39" i="4" s="1"/>
  <c r="H38" i="4" s="1"/>
  <c r="H37" i="4" s="1"/>
  <c r="H36" i="4" s="1"/>
  <c r="H35" i="4" s="1"/>
  <c r="H34" i="4" s="1"/>
  <c r="H33" i="4" s="1"/>
  <c r="H32" i="4" s="1"/>
  <c r="H31" i="4" s="1"/>
  <c r="H30" i="4" s="1"/>
  <c r="H29" i="4" s="1"/>
  <c r="H28" i="4" s="1"/>
  <c r="H27" i="4" s="1"/>
  <c r="H26" i="4" s="1"/>
  <c r="H25" i="4" s="1"/>
  <c r="H24" i="4" s="1"/>
  <c r="H23" i="4" s="1"/>
  <c r="H22" i="4" s="1"/>
  <c r="H21" i="4" s="1"/>
  <c r="H20" i="4" s="1"/>
  <c r="H19" i="4" s="1"/>
  <c r="H18" i="4" s="1"/>
  <c r="H17" i="4" s="1"/>
  <c r="H16" i="4" s="1"/>
  <c r="H15" i="4" s="1"/>
  <c r="H14" i="4" s="1"/>
  <c r="H13" i="4" s="1"/>
  <c r="H12" i="4" s="1"/>
  <c r="H11" i="4" s="1"/>
  <c r="H10" i="4" s="1"/>
  <c r="H9" i="4" s="1"/>
  <c r="H8" i="4" s="1"/>
  <c r="H7" i="4" s="1"/>
  <c r="H6" i="4" s="1"/>
  <c r="H5" i="4" s="1"/>
  <c r="H4" i="4" s="1"/>
  <c r="H3" i="4" s="1"/>
  <c r="H2" i="4" s="1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D2" i="4"/>
  <c r="D3" i="4" s="1"/>
  <c r="I3" i="4" s="1"/>
  <c r="I2" i="4" l="1"/>
  <c r="D4" i="4"/>
  <c r="I4" i="4" s="1"/>
  <c r="D5" i="4" l="1"/>
  <c r="I5" i="4" s="1"/>
  <c r="D6" i="4" l="1"/>
  <c r="D7" i="4" l="1"/>
  <c r="I7" i="4" s="1"/>
  <c r="I6" i="4"/>
  <c r="D8" i="4" l="1"/>
  <c r="I8" i="4" s="1"/>
  <c r="D9" i="4" l="1"/>
  <c r="I9" i="4" s="1"/>
  <c r="D10" i="4" l="1"/>
  <c r="I10" i="4" s="1"/>
  <c r="D11" i="4" l="1"/>
  <c r="I11" i="4" s="1"/>
  <c r="D12" i="4" l="1"/>
  <c r="I12" i="4" s="1"/>
  <c r="D13" i="4" l="1"/>
  <c r="I13" i="4" s="1"/>
  <c r="D14" i="4" l="1"/>
  <c r="I14" i="4" s="1"/>
  <c r="D15" i="4"/>
  <c r="I15" i="4" s="1"/>
  <c r="D16" i="4" l="1"/>
  <c r="I16" i="4" s="1"/>
  <c r="D17" i="4" l="1"/>
  <c r="I17" i="4" s="1"/>
  <c r="D18" i="4" l="1"/>
  <c r="I18" i="4" s="1"/>
  <c r="D19" i="4" l="1"/>
  <c r="I19" i="4" s="1"/>
  <c r="D20" i="4" l="1"/>
  <c r="I20" i="4" s="1"/>
  <c r="D21" i="4" l="1"/>
  <c r="I21" i="4" s="1"/>
  <c r="D22" i="4" l="1"/>
  <c r="I22" i="4" s="1"/>
  <c r="D23" i="4" l="1"/>
  <c r="I23" i="4" s="1"/>
  <c r="D24" i="4" l="1"/>
  <c r="I24" i="4" s="1"/>
  <c r="D25" i="4" l="1"/>
  <c r="I25" i="4" s="1"/>
  <c r="D26" i="4" l="1"/>
  <c r="I26" i="4" s="1"/>
  <c r="D27" i="4" l="1"/>
  <c r="I27" i="4" s="1"/>
  <c r="D28" i="4" l="1"/>
  <c r="I28" i="4" s="1"/>
  <c r="D29" i="4" l="1"/>
  <c r="I29" i="4" s="1"/>
  <c r="D30" i="4" l="1"/>
  <c r="I30" i="4" s="1"/>
  <c r="D31" i="4" l="1"/>
  <c r="I31" i="4" s="1"/>
  <c r="D32" i="4" l="1"/>
  <c r="I32" i="4" s="1"/>
  <c r="D33" i="4" l="1"/>
  <c r="I33" i="4" s="1"/>
  <c r="D34" i="4" l="1"/>
  <c r="I34" i="4" s="1"/>
  <c r="D35" i="4" l="1"/>
  <c r="I35" i="4" s="1"/>
  <c r="D36" i="4" l="1"/>
  <c r="I36" i="4" s="1"/>
  <c r="D37" i="4" l="1"/>
  <c r="I37" i="4" s="1"/>
  <c r="D38" i="4" l="1"/>
  <c r="I38" i="4" s="1"/>
  <c r="D39" i="4" l="1"/>
  <c r="I39" i="4" s="1"/>
  <c r="D40" i="4" l="1"/>
  <c r="I40" i="4" s="1"/>
  <c r="D41" i="4" l="1"/>
  <c r="I41" i="4" s="1"/>
  <c r="D42" i="4" l="1"/>
  <c r="I42" i="4" s="1"/>
  <c r="D43" i="4" l="1"/>
  <c r="I43" i="4" s="1"/>
  <c r="D44" i="4" l="1"/>
  <c r="I44" i="4" s="1"/>
  <c r="D45" i="4" l="1"/>
  <c r="I45" i="4" s="1"/>
  <c r="D46" i="4" l="1"/>
  <c r="I46" i="4" s="1"/>
  <c r="D47" i="4" l="1"/>
  <c r="I47" i="4" s="1"/>
  <c r="D48" i="4" l="1"/>
  <c r="I48" i="4" s="1"/>
  <c r="D49" i="4" l="1"/>
  <c r="I49" i="4" s="1"/>
  <c r="D50" i="4" l="1"/>
  <c r="I50" i="4" s="1"/>
  <c r="D51" i="4" l="1"/>
  <c r="I51" i="4" s="1"/>
  <c r="D52" i="4" l="1"/>
  <c r="I52" i="4" s="1"/>
  <c r="D53" i="4" l="1"/>
  <c r="I53" i="4" s="1"/>
  <c r="D54" i="4" l="1"/>
  <c r="I54" i="4" s="1"/>
  <c r="D55" i="4" l="1"/>
  <c r="I55" i="4" s="1"/>
  <c r="D56" i="4" l="1"/>
  <c r="I56" i="4" s="1"/>
  <c r="D57" i="4" l="1"/>
  <c r="I57" i="4" s="1"/>
  <c r="D58" i="4" l="1"/>
  <c r="I58" i="4" s="1"/>
  <c r="D59" i="4" l="1"/>
  <c r="I59" i="4" s="1"/>
  <c r="D60" i="4" l="1"/>
  <c r="I60" i="4" s="1"/>
  <c r="D61" i="4" l="1"/>
  <c r="I61" i="4" s="1"/>
  <c r="D62" i="4" l="1"/>
  <c r="I62" i="4" s="1"/>
  <c r="D63" i="4" l="1"/>
  <c r="I63" i="4" s="1"/>
  <c r="D64" i="4" l="1"/>
  <c r="I64" i="4" s="1"/>
  <c r="D65" i="4" l="1"/>
  <c r="I65" i="4" s="1"/>
  <c r="D66" i="4" l="1"/>
  <c r="I66" i="4" s="1"/>
  <c r="D67" i="4" l="1"/>
  <c r="I67" i="4" s="1"/>
  <c r="D68" i="4" l="1"/>
  <c r="I68" i="4" s="1"/>
  <c r="D69" i="4" l="1"/>
  <c r="I69" i="4" s="1"/>
  <c r="D70" i="4" l="1"/>
  <c r="I70" i="4" s="1"/>
  <c r="D71" i="4" l="1"/>
  <c r="I71" i="4" s="1"/>
  <c r="D72" i="4" l="1"/>
  <c r="I72" i="4" s="1"/>
  <c r="D73" i="4" l="1"/>
  <c r="I73" i="4" s="1"/>
  <c r="D74" i="4" l="1"/>
  <c r="I74" i="4" s="1"/>
  <c r="D75" i="4" l="1"/>
  <c r="I75" i="4" s="1"/>
  <c r="D76" i="4" l="1"/>
  <c r="I76" i="4" s="1"/>
  <c r="D77" i="4" l="1"/>
  <c r="I77" i="4" s="1"/>
  <c r="D78" i="4" l="1"/>
  <c r="I78" i="4" s="1"/>
  <c r="D79" i="4" l="1"/>
  <c r="I79" i="4" s="1"/>
  <c r="D80" i="4" l="1"/>
  <c r="I80" i="4" s="1"/>
  <c r="D81" i="4" l="1"/>
  <c r="I81" i="4" s="1"/>
  <c r="D82" i="4" l="1"/>
  <c r="I82" i="4" s="1"/>
  <c r="D83" i="4" l="1"/>
  <c r="I83" i="4" s="1"/>
  <c r="D84" i="4" l="1"/>
  <c r="I84" i="4" s="1"/>
  <c r="D85" i="4" l="1"/>
  <c r="I85" i="4" s="1"/>
  <c r="D86" i="4" l="1"/>
  <c r="I86" i="4" s="1"/>
  <c r="D87" i="4" l="1"/>
  <c r="I87" i="4" s="1"/>
  <c r="D88" i="4" l="1"/>
  <c r="I88" i="4" s="1"/>
  <c r="D89" i="4" l="1"/>
  <c r="I89" i="4" s="1"/>
  <c r="D90" i="4" l="1"/>
  <c r="I90" i="4" s="1"/>
  <c r="D91" i="4" l="1"/>
  <c r="I91" i="4" l="1"/>
  <c r="E92" i="4"/>
  <c r="E93" i="4" l="1"/>
  <c r="I92" i="4"/>
  <c r="I93" i="4" l="1"/>
  <c r="E94" i="4"/>
  <c r="E95" i="4" l="1"/>
  <c r="I94" i="4"/>
  <c r="I95" i="4" l="1"/>
  <c r="E96" i="4"/>
  <c r="E97" i="4" l="1"/>
  <c r="I96" i="4"/>
  <c r="I97" i="4" l="1"/>
  <c r="E98" i="4"/>
  <c r="E99" i="4" l="1"/>
  <c r="I98" i="4"/>
  <c r="I99" i="4" l="1"/>
  <c r="E100" i="4"/>
  <c r="E101" i="4" l="1"/>
  <c r="I100" i="4"/>
  <c r="I101" i="4" l="1"/>
  <c r="E102" i="4"/>
  <c r="E103" i="4" l="1"/>
  <c r="I102" i="4"/>
  <c r="I103" i="4" l="1"/>
  <c r="E104" i="4"/>
  <c r="E105" i="4" l="1"/>
  <c r="I104" i="4"/>
  <c r="I105" i="4" l="1"/>
  <c r="E106" i="4"/>
  <c r="E107" i="4" l="1"/>
  <c r="I106" i="4"/>
  <c r="I107" i="4" l="1"/>
  <c r="E108" i="4"/>
  <c r="E109" i="4" l="1"/>
  <c r="I108" i="4"/>
  <c r="I109" i="4" l="1"/>
  <c r="E110" i="4"/>
  <c r="E111" i="4" l="1"/>
  <c r="I110" i="4"/>
  <c r="I111" i="4" l="1"/>
  <c r="E112" i="4"/>
  <c r="E113" i="4" l="1"/>
  <c r="I112" i="4"/>
  <c r="I113" i="4" l="1"/>
  <c r="E114" i="4"/>
  <c r="E115" i="4" l="1"/>
  <c r="I114" i="4"/>
  <c r="I115" i="4" l="1"/>
  <c r="E116" i="4"/>
  <c r="E117" i="4" l="1"/>
  <c r="I116" i="4"/>
  <c r="I117" i="4" l="1"/>
  <c r="E118" i="4"/>
  <c r="E119" i="4" l="1"/>
  <c r="I118" i="4"/>
  <c r="I119" i="4" l="1"/>
  <c r="E120" i="4"/>
  <c r="E121" i="4" l="1"/>
  <c r="I120" i="4"/>
  <c r="I121" i="4" l="1"/>
  <c r="E122" i="4"/>
  <c r="E123" i="4" l="1"/>
  <c r="I122" i="4"/>
  <c r="I123" i="4" l="1"/>
  <c r="E124" i="4"/>
  <c r="E125" i="4" l="1"/>
  <c r="I124" i="4"/>
  <c r="I125" i="4" l="1"/>
  <c r="E126" i="4"/>
  <c r="E127" i="4" l="1"/>
  <c r="I126" i="4"/>
  <c r="I127" i="4" l="1"/>
  <c r="E128" i="4"/>
  <c r="E129" i="4" l="1"/>
  <c r="I128" i="4"/>
  <c r="I129" i="4" l="1"/>
  <c r="E130" i="4"/>
  <c r="E131" i="4" l="1"/>
  <c r="I130" i="4"/>
  <c r="I131" i="4" l="1"/>
  <c r="E132" i="4"/>
  <c r="E133" i="4" l="1"/>
  <c r="I132" i="4"/>
  <c r="I133" i="4" l="1"/>
  <c r="E134" i="4"/>
  <c r="E135" i="4" l="1"/>
  <c r="I134" i="4"/>
  <c r="I135" i="4" l="1"/>
  <c r="E136" i="4"/>
  <c r="E137" i="4" l="1"/>
  <c r="I136" i="4"/>
  <c r="I137" i="4" l="1"/>
  <c r="E138" i="4"/>
  <c r="E139" i="4" l="1"/>
  <c r="I138" i="4"/>
  <c r="I139" i="4" l="1"/>
  <c r="E140" i="4"/>
  <c r="E141" i="4" l="1"/>
  <c r="I140" i="4"/>
  <c r="I141" i="4" l="1"/>
  <c r="E142" i="4"/>
  <c r="E143" i="4" l="1"/>
  <c r="I142" i="4"/>
  <c r="I143" i="4" l="1"/>
  <c r="E144" i="4"/>
  <c r="E145" i="4" l="1"/>
  <c r="I144" i="4"/>
  <c r="I145" i="4" l="1"/>
  <c r="E146" i="4"/>
  <c r="E147" i="4" l="1"/>
  <c r="I146" i="4"/>
  <c r="I147" i="4" l="1"/>
  <c r="E148" i="4"/>
  <c r="E149" i="4" l="1"/>
  <c r="I148" i="4"/>
  <c r="E150" i="4" l="1"/>
  <c r="I149" i="4"/>
  <c r="I150" i="4" l="1"/>
  <c r="E151" i="4"/>
  <c r="E152" i="4" l="1"/>
  <c r="I151" i="4"/>
  <c r="I152" i="4" l="1"/>
  <c r="E153" i="4"/>
  <c r="I153" i="4" l="1"/>
  <c r="E154" i="4"/>
  <c r="E155" i="4" l="1"/>
  <c r="I154" i="4"/>
  <c r="E156" i="4" l="1"/>
  <c r="I155" i="4"/>
  <c r="I156" i="4" l="1"/>
  <c r="E157" i="4"/>
  <c r="E158" i="4" l="1"/>
  <c r="I157" i="4"/>
  <c r="E159" i="4" l="1"/>
  <c r="I158" i="4"/>
  <c r="I159" i="4" l="1"/>
  <c r="E160" i="4"/>
  <c r="E161" i="4" l="1"/>
  <c r="I160" i="4"/>
  <c r="E162" i="4" l="1"/>
  <c r="I161" i="4"/>
  <c r="I162" i="4" l="1"/>
  <c r="E163" i="4"/>
  <c r="I163" i="4" l="1"/>
  <c r="E164" i="4"/>
  <c r="E165" i="4" l="1"/>
  <c r="I164" i="4"/>
  <c r="E166" i="4" l="1"/>
  <c r="I165" i="4"/>
  <c r="I166" i="4" l="1"/>
  <c r="E167" i="4"/>
  <c r="E168" i="4" l="1"/>
  <c r="I167" i="4"/>
  <c r="I168" i="4" l="1"/>
  <c r="E169" i="4"/>
  <c r="E170" i="4" l="1"/>
  <c r="I169" i="4"/>
  <c r="I170" i="4" l="1"/>
  <c r="E171" i="4"/>
  <c r="I171" i="4" l="1"/>
  <c r="E172" i="4"/>
  <c r="I172" i="4" l="1"/>
  <c r="E173" i="4"/>
  <c r="I173" i="4" l="1"/>
  <c r="E174" i="4"/>
  <c r="I174" i="4" l="1"/>
  <c r="E175" i="4"/>
  <c r="E176" i="4" l="1"/>
  <c r="I175" i="4"/>
  <c r="I176" i="4" l="1"/>
  <c r="E177" i="4"/>
  <c r="E178" i="4" l="1"/>
  <c r="I177" i="4"/>
  <c r="E179" i="4" l="1"/>
  <c r="I178" i="4"/>
  <c r="E180" i="4" l="1"/>
  <c r="I179" i="4"/>
  <c r="I180" i="4" l="1"/>
  <c r="E181" i="4"/>
  <c r="I181" i="4" l="1"/>
  <c r="E182" i="4"/>
  <c r="F183" i="4" s="1"/>
  <c r="I182" i="4" l="1"/>
  <c r="F184" i="4" l="1"/>
  <c r="I183" i="4"/>
  <c r="F185" i="4" l="1"/>
  <c r="I184" i="4"/>
  <c r="F186" i="4" l="1"/>
  <c r="I185" i="4"/>
  <c r="F187" i="4" l="1"/>
  <c r="I186" i="4"/>
  <c r="F188" i="4" l="1"/>
  <c r="I187" i="4"/>
  <c r="I188" i="4" l="1"/>
  <c r="F189" i="4"/>
  <c r="I189" i="4" l="1"/>
  <c r="F190" i="4"/>
  <c r="I190" i="4" l="1"/>
  <c r="F191" i="4"/>
  <c r="F192" i="4" l="1"/>
  <c r="I191" i="4"/>
  <c r="F193" i="4" l="1"/>
  <c r="I192" i="4"/>
  <c r="F194" i="4" l="1"/>
  <c r="I193" i="4"/>
  <c r="F195" i="4" l="1"/>
  <c r="I194" i="4"/>
  <c r="F196" i="4" l="1"/>
  <c r="I195" i="4"/>
  <c r="I196" i="4" l="1"/>
  <c r="F197" i="4"/>
  <c r="I197" i="4" l="1"/>
  <c r="F198" i="4"/>
  <c r="I198" i="4" l="1"/>
  <c r="F199" i="4"/>
  <c r="F200" i="4" l="1"/>
  <c r="I199" i="4"/>
  <c r="F201" i="4" l="1"/>
  <c r="I200" i="4"/>
  <c r="F202" i="4" l="1"/>
  <c r="I201" i="4"/>
  <c r="F203" i="4" l="1"/>
  <c r="I202" i="4"/>
  <c r="F204" i="4" l="1"/>
  <c r="I203" i="4"/>
  <c r="I204" i="4" l="1"/>
  <c r="F205" i="4"/>
  <c r="I205" i="4" l="1"/>
  <c r="F206" i="4"/>
  <c r="I206" i="4" l="1"/>
  <c r="F207" i="4"/>
  <c r="F208" i="4" l="1"/>
  <c r="I207" i="4"/>
  <c r="I208" i="4" l="1"/>
  <c r="F209" i="4"/>
  <c r="F210" i="4" l="1"/>
  <c r="I209" i="4"/>
  <c r="F211" i="4" l="1"/>
  <c r="I210" i="4"/>
  <c r="F212" i="4" l="1"/>
  <c r="I211" i="4"/>
  <c r="F213" i="4" l="1"/>
  <c r="I212" i="4"/>
  <c r="I213" i="4" l="1"/>
  <c r="F214" i="4"/>
  <c r="I214" i="4" l="1"/>
  <c r="F215" i="4"/>
  <c r="F216" i="4" l="1"/>
  <c r="I215" i="4"/>
  <c r="F217" i="4" l="1"/>
  <c r="I216" i="4"/>
  <c r="F218" i="4" l="1"/>
  <c r="I217" i="4"/>
  <c r="F219" i="4" l="1"/>
  <c r="I218" i="4"/>
  <c r="F220" i="4" l="1"/>
  <c r="I219" i="4"/>
  <c r="F221" i="4" l="1"/>
  <c r="I220" i="4"/>
  <c r="I221" i="4" l="1"/>
  <c r="F222" i="4"/>
  <c r="I222" i="4" l="1"/>
  <c r="F223" i="4"/>
  <c r="F224" i="4" l="1"/>
  <c r="I223" i="4"/>
  <c r="F225" i="4" l="1"/>
  <c r="I224" i="4"/>
  <c r="F226" i="4" l="1"/>
  <c r="I225" i="4"/>
  <c r="F227" i="4" l="1"/>
  <c r="I226" i="4"/>
  <c r="F228" i="4" l="1"/>
  <c r="I227" i="4"/>
  <c r="F229" i="4" l="1"/>
  <c r="I228" i="4"/>
  <c r="I229" i="4" l="1"/>
  <c r="F230" i="4"/>
  <c r="I230" i="4" l="1"/>
  <c r="F231" i="4"/>
  <c r="F232" i="4" l="1"/>
  <c r="I231" i="4"/>
  <c r="F233" i="4" l="1"/>
  <c r="I232" i="4"/>
  <c r="F234" i="4" l="1"/>
  <c r="I233" i="4"/>
  <c r="F235" i="4" l="1"/>
  <c r="I234" i="4"/>
  <c r="F236" i="4" l="1"/>
  <c r="I235" i="4"/>
  <c r="F237" i="4" l="1"/>
  <c r="I236" i="4"/>
  <c r="I237" i="4" l="1"/>
  <c r="F238" i="4"/>
  <c r="I238" i="4" l="1"/>
  <c r="F239" i="4"/>
  <c r="F240" i="4" l="1"/>
  <c r="I239" i="4"/>
  <c r="F241" i="4" l="1"/>
  <c r="I240" i="4"/>
  <c r="F242" i="4" l="1"/>
  <c r="I241" i="4"/>
  <c r="F243" i="4" l="1"/>
  <c r="I242" i="4"/>
  <c r="F244" i="4" l="1"/>
  <c r="I243" i="4"/>
  <c r="F245" i="4" l="1"/>
  <c r="I244" i="4"/>
  <c r="I245" i="4" l="1"/>
  <c r="F246" i="4"/>
  <c r="I246" i="4" l="1"/>
  <c r="F247" i="4"/>
  <c r="F248" i="4" l="1"/>
  <c r="I247" i="4"/>
  <c r="F249" i="4" l="1"/>
  <c r="I248" i="4"/>
  <c r="F250" i="4" l="1"/>
  <c r="I249" i="4"/>
  <c r="F251" i="4" l="1"/>
  <c r="I250" i="4"/>
  <c r="F252" i="4" l="1"/>
  <c r="I251" i="4"/>
  <c r="F253" i="4" l="1"/>
  <c r="I252" i="4"/>
  <c r="I253" i="4" l="1"/>
  <c r="F254" i="4"/>
  <c r="I254" i="4" l="1"/>
  <c r="F255" i="4"/>
  <c r="F256" i="4" l="1"/>
  <c r="I255" i="4"/>
  <c r="I256" i="4" l="1"/>
  <c r="F257" i="4"/>
  <c r="F258" i="4" l="1"/>
  <c r="I257" i="4"/>
  <c r="F259" i="4" l="1"/>
  <c r="I258" i="4"/>
  <c r="F260" i="4" l="1"/>
  <c r="I259" i="4"/>
  <c r="F261" i="4" l="1"/>
  <c r="I260" i="4"/>
  <c r="I261" i="4" l="1"/>
  <c r="F262" i="4"/>
  <c r="I262" i="4" l="1"/>
  <c r="F263" i="4"/>
  <c r="F264" i="4" l="1"/>
  <c r="I263" i="4"/>
  <c r="F265" i="4" l="1"/>
  <c r="I264" i="4"/>
  <c r="F266" i="4" l="1"/>
  <c r="I265" i="4"/>
  <c r="F267" i="4" l="1"/>
  <c r="I266" i="4"/>
  <c r="F268" i="4" l="1"/>
  <c r="I267" i="4"/>
  <c r="F269" i="4" l="1"/>
  <c r="I268" i="4"/>
  <c r="I269" i="4" l="1"/>
  <c r="F270" i="4"/>
  <c r="I270" i="4" l="1"/>
  <c r="F271" i="4"/>
  <c r="F272" i="4" l="1"/>
  <c r="I271" i="4"/>
  <c r="I272" i="4" l="1"/>
  <c r="F273" i="4"/>
  <c r="F274" i="4" l="1"/>
  <c r="I273" i="4"/>
  <c r="G275" i="4" l="1"/>
  <c r="I274" i="4"/>
  <c r="I275" i="4" l="1"/>
  <c r="I276" i="4" l="1"/>
  <c r="I277" i="4" l="1"/>
  <c r="I278" i="4" l="1"/>
  <c r="I279" i="4" l="1"/>
  <c r="I280" i="4" l="1"/>
  <c r="I281" i="4" l="1"/>
  <c r="I282" i="4" l="1"/>
  <c r="I283" i="4" l="1"/>
  <c r="I284" i="4" l="1"/>
  <c r="I285" i="4" l="1"/>
  <c r="I286" i="4" l="1"/>
  <c r="I287" i="4" l="1"/>
  <c r="I288" i="4" l="1"/>
  <c r="I289" i="4" l="1"/>
  <c r="I290" i="4" l="1"/>
  <c r="I291" i="4" l="1"/>
  <c r="I292" i="4" l="1"/>
  <c r="I293" i="4" l="1"/>
  <c r="I294" i="4" l="1"/>
  <c r="I295" i="4" l="1"/>
  <c r="I296" i="4" l="1"/>
  <c r="I297" i="4" l="1"/>
  <c r="I298" i="4" l="1"/>
  <c r="I299" i="4" l="1"/>
  <c r="I300" i="4" l="1"/>
  <c r="I301" i="4" l="1"/>
  <c r="I302" i="4" l="1"/>
  <c r="I303" i="4" l="1"/>
  <c r="I304" i="4" l="1"/>
  <c r="I305" i="4" l="1"/>
  <c r="I306" i="4" l="1"/>
  <c r="I307" i="4" l="1"/>
  <c r="I308" i="4" l="1"/>
  <c r="I309" i="4" l="1"/>
  <c r="I310" i="4" l="1"/>
  <c r="I311" i="4" l="1"/>
  <c r="I312" i="4" l="1"/>
  <c r="I313" i="4" l="1"/>
  <c r="I314" i="4" l="1"/>
  <c r="I315" i="4" l="1"/>
  <c r="I316" i="4" l="1"/>
  <c r="I317" i="4" l="1"/>
  <c r="I318" i="4" l="1"/>
  <c r="I319" i="4" l="1"/>
  <c r="I320" i="4" l="1"/>
  <c r="I321" i="4" l="1"/>
  <c r="I322" i="4" l="1"/>
  <c r="I323" i="4" l="1"/>
  <c r="I324" i="4" l="1"/>
  <c r="I325" i="4" l="1"/>
  <c r="I326" i="4" l="1"/>
  <c r="I327" i="4" l="1"/>
  <c r="I328" i="4" l="1"/>
  <c r="I329" i="4" l="1"/>
  <c r="I330" i="4" l="1"/>
  <c r="I331" i="4" l="1"/>
  <c r="I332" i="4" l="1"/>
  <c r="I333" i="4" l="1"/>
  <c r="I334" i="4" l="1"/>
  <c r="I335" i="4" l="1"/>
  <c r="I336" i="4" l="1"/>
  <c r="I337" i="4" l="1"/>
  <c r="I338" i="4" l="1"/>
  <c r="I339" i="4" l="1"/>
  <c r="I340" i="4" l="1"/>
  <c r="I341" i="4" l="1"/>
  <c r="I342" i="4" l="1"/>
  <c r="I343" i="4" l="1"/>
  <c r="I344" i="4" l="1"/>
  <c r="I345" i="4" l="1"/>
  <c r="I346" i="4" l="1"/>
  <c r="I347" i="4" l="1"/>
  <c r="I348" i="4" l="1"/>
  <c r="I349" i="4" l="1"/>
  <c r="I350" i="4" l="1"/>
  <c r="I351" i="4" l="1"/>
  <c r="I352" i="4" l="1"/>
  <c r="I353" i="4" l="1"/>
  <c r="I354" i="4" l="1"/>
  <c r="I355" i="4" l="1"/>
  <c r="I356" i="4" l="1"/>
  <c r="I357" i="4" l="1"/>
  <c r="I358" i="4" l="1"/>
  <c r="I359" i="4" l="1"/>
  <c r="I360" i="4" l="1"/>
  <c r="I361" i="4" l="1"/>
  <c r="I362" i="4" l="1"/>
  <c r="I363" i="4" l="1"/>
  <c r="I364" i="4" l="1"/>
  <c r="I365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<sst xmlns="http://schemas.openxmlformats.org/spreadsheetml/2006/main" count="29" uniqueCount="21">
  <si>
    <t>Отбор</t>
  </si>
  <si>
    <t>1 квартал</t>
  </si>
  <si>
    <t>2 квартал</t>
  </si>
  <si>
    <t>3 квартал</t>
  </si>
  <si>
    <t>4 квартал</t>
  </si>
  <si>
    <t>Квартал</t>
  </si>
  <si>
    <t>Дата</t>
  </si>
  <si>
    <t>1-4 квартал минимум</t>
  </si>
  <si>
    <t>1-4 квартал максимум</t>
  </si>
  <si>
    <t>Год минимум</t>
  </si>
  <si>
    <t>Год контракт</t>
  </si>
  <si>
    <t>1 квартал минимум</t>
  </si>
  <si>
    <t>2 квартал максимум</t>
  </si>
  <si>
    <t>3 квартал максимум</t>
  </si>
  <si>
    <t>4 квартал минимум</t>
  </si>
  <si>
    <t>Сутки контракт</t>
  </si>
  <si>
    <t>best-effort</t>
  </si>
  <si>
    <t>Минимум</t>
  </si>
  <si>
    <t>Максимум</t>
  </si>
  <si>
    <t>ГКК</t>
  </si>
  <si>
    <t>МГК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</si>
</sst>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0" fillId="0" borderId="1" xfId="0" applyBorder="1"/>
    <xf numFmtId="3" fontId="0" fillId="0" borderId="1" xfId="0" applyNumberFormat="1" applyBorder="1"/>
    <xf numFmtId="3" fontId="0" fillId="0" borderId="0" xfId="0" applyNumberFormat="1"/>
    <xf numFmtId="0" fontId="0" fillId="3" borderId="0" xfId="0" applyFill="1"/>
  </cellXfs>
  <cellStyles count="1">
    <cellStyle name="Обычный" xfId="0" builtinId="0"/>
  </cellStyles>
  <dxfs count="0"/>
  <tableStyles count="1" defaultTableStyle="TableStyleMedium2" defaultPivotStyle="PivotStyleLight16">
    <tableStyle name="Invisible" pivot="0" table="0" count="0" xr9:uid="{AAE95361-8C3C-4E0B-89A0-67CE49F5F485}"/>
  </tableStyles>
  <colors>
    <mruColors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Область допустимых значений отбора и фактический отбор 2023 год</a:t>
            </a:r>
          </a:p>
        </c:rich>
      </c:tx>
      <c:layout>
        <c:manualLayout>
          <c:xMode val="edge"/>
          <c:yMode val="edge"/>
          <c:x val="0.15086250741335813"/>
          <c:y val="1.88251093607300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3772225318738962"/>
          <c:y val="0.15192163958319058"/>
          <c:w val="0.79250164763038256"/>
          <c:h val="0.67083424165228944"/>
        </c:manualLayout>
      </c:layout>
      <c:areaChart>
        <c:grouping val="stacked"/>
        <c:varyColors val="0"/>
        <c:ser>
          <c:idx val="0"/>
          <c:order val="0"/>
          <c:tx>
            <c:v>Минимум</c:v>
          </c:tx>
          <c:spPr>
            <a:solidFill>
              <a:schemeClr val="bg1"/>
            </a:solidFill>
            <a:ln>
              <a:noFill/>
            </a:ln>
            <a:effectLst/>
          </c:spPr>
          <c:cat>
            <c:numRef>
              <c:f>График!$D$2:$D$366</c:f>
              <c:numCache>
                <c:formatCode>m/d/yyyy</c:formatCode>
                <c:ptCount val="365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</c:numCache>
            </c:numRef>
          </c:cat>
          <c:val>
            <c:numRef>
              <c:f>График!$A$2:$A$366</c:f>
              <c:numCache>
                <c:formatCode>General</c:formatCode>
                <c:ptCount val="365"/>
                <c:pt idx="0" formatCode="#,##0">
                  <c:v>2400000</c:v>
                </c:pt>
                <c:pt idx="1">
                  <c:v>12800000</c:v>
                </c:pt>
                <c:pt idx="2">
                  <c:v>23200000</c:v>
                </c:pt>
                <c:pt idx="3">
                  <c:v>33600000</c:v>
                </c:pt>
                <c:pt idx="4">
                  <c:v>44000000</c:v>
                </c:pt>
                <c:pt idx="5">
                  <c:v>54400000</c:v>
                </c:pt>
                <c:pt idx="6">
                  <c:v>64800000</c:v>
                </c:pt>
                <c:pt idx="7">
                  <c:v>75200000</c:v>
                </c:pt>
                <c:pt idx="8">
                  <c:v>85600000</c:v>
                </c:pt>
                <c:pt idx="9">
                  <c:v>96000000</c:v>
                </c:pt>
                <c:pt idx="10">
                  <c:v>106400000</c:v>
                </c:pt>
                <c:pt idx="11">
                  <c:v>116800000</c:v>
                </c:pt>
                <c:pt idx="12">
                  <c:v>127200000</c:v>
                </c:pt>
                <c:pt idx="13">
                  <c:v>137600000</c:v>
                </c:pt>
                <c:pt idx="14">
                  <c:v>148000000</c:v>
                </c:pt>
                <c:pt idx="15">
                  <c:v>158400000</c:v>
                </c:pt>
                <c:pt idx="16">
                  <c:v>168800000</c:v>
                </c:pt>
                <c:pt idx="17">
                  <c:v>179200000</c:v>
                </c:pt>
                <c:pt idx="18">
                  <c:v>189600000</c:v>
                </c:pt>
                <c:pt idx="19">
                  <c:v>200000000</c:v>
                </c:pt>
                <c:pt idx="20">
                  <c:v>210400000</c:v>
                </c:pt>
                <c:pt idx="21">
                  <c:v>220800000</c:v>
                </c:pt>
                <c:pt idx="22">
                  <c:v>231200000</c:v>
                </c:pt>
                <c:pt idx="23">
                  <c:v>241600000</c:v>
                </c:pt>
                <c:pt idx="24">
                  <c:v>252000000</c:v>
                </c:pt>
                <c:pt idx="25">
                  <c:v>262400000</c:v>
                </c:pt>
                <c:pt idx="26">
                  <c:v>272800000</c:v>
                </c:pt>
                <c:pt idx="27">
                  <c:v>283200000</c:v>
                </c:pt>
                <c:pt idx="28">
                  <c:v>293600000</c:v>
                </c:pt>
                <c:pt idx="29">
                  <c:v>304000000</c:v>
                </c:pt>
                <c:pt idx="30">
                  <c:v>314400000</c:v>
                </c:pt>
                <c:pt idx="31">
                  <c:v>324800000</c:v>
                </c:pt>
                <c:pt idx="32">
                  <c:v>335200000</c:v>
                </c:pt>
                <c:pt idx="33">
                  <c:v>345600000</c:v>
                </c:pt>
                <c:pt idx="34">
                  <c:v>356000000</c:v>
                </c:pt>
                <c:pt idx="35">
                  <c:v>366400000</c:v>
                </c:pt>
                <c:pt idx="36">
                  <c:v>376800000</c:v>
                </c:pt>
                <c:pt idx="37">
                  <c:v>387200000</c:v>
                </c:pt>
                <c:pt idx="38">
                  <c:v>397600000</c:v>
                </c:pt>
                <c:pt idx="39">
                  <c:v>408000000</c:v>
                </c:pt>
                <c:pt idx="40">
                  <c:v>418400000</c:v>
                </c:pt>
                <c:pt idx="41">
                  <c:v>428800000</c:v>
                </c:pt>
                <c:pt idx="42">
                  <c:v>439200000</c:v>
                </c:pt>
                <c:pt idx="43">
                  <c:v>449600000</c:v>
                </c:pt>
                <c:pt idx="44">
                  <c:v>460000000</c:v>
                </c:pt>
                <c:pt idx="45">
                  <c:v>470400000</c:v>
                </c:pt>
                <c:pt idx="46">
                  <c:v>480800000</c:v>
                </c:pt>
                <c:pt idx="47">
                  <c:v>491200000</c:v>
                </c:pt>
                <c:pt idx="48">
                  <c:v>501600000</c:v>
                </c:pt>
                <c:pt idx="49">
                  <c:v>512000000</c:v>
                </c:pt>
                <c:pt idx="50">
                  <c:v>522400000</c:v>
                </c:pt>
                <c:pt idx="51">
                  <c:v>532800000</c:v>
                </c:pt>
                <c:pt idx="52">
                  <c:v>543200000</c:v>
                </c:pt>
                <c:pt idx="53">
                  <c:v>553600000</c:v>
                </c:pt>
                <c:pt idx="54">
                  <c:v>564000000</c:v>
                </c:pt>
                <c:pt idx="55">
                  <c:v>574400000</c:v>
                </c:pt>
                <c:pt idx="56">
                  <c:v>584800000</c:v>
                </c:pt>
                <c:pt idx="57">
                  <c:v>595200000</c:v>
                </c:pt>
                <c:pt idx="58">
                  <c:v>605600000</c:v>
                </c:pt>
                <c:pt idx="59">
                  <c:v>616000000</c:v>
                </c:pt>
                <c:pt idx="60">
                  <c:v>626400000</c:v>
                </c:pt>
                <c:pt idx="61">
                  <c:v>636800000</c:v>
                </c:pt>
                <c:pt idx="62">
                  <c:v>647200000</c:v>
                </c:pt>
                <c:pt idx="63">
                  <c:v>657600000</c:v>
                </c:pt>
                <c:pt idx="64">
                  <c:v>668000000</c:v>
                </c:pt>
                <c:pt idx="65">
                  <c:v>678400000</c:v>
                </c:pt>
                <c:pt idx="66">
                  <c:v>688800000</c:v>
                </c:pt>
                <c:pt idx="67">
                  <c:v>699200000</c:v>
                </c:pt>
                <c:pt idx="68">
                  <c:v>709600000</c:v>
                </c:pt>
                <c:pt idx="69">
                  <c:v>720000000</c:v>
                </c:pt>
                <c:pt idx="70">
                  <c:v>730400000</c:v>
                </c:pt>
                <c:pt idx="71">
                  <c:v>740800000</c:v>
                </c:pt>
                <c:pt idx="72">
                  <c:v>751200000</c:v>
                </c:pt>
                <c:pt idx="73">
                  <c:v>761600000</c:v>
                </c:pt>
                <c:pt idx="74">
                  <c:v>772000000</c:v>
                </c:pt>
                <c:pt idx="75">
                  <c:v>782400000</c:v>
                </c:pt>
                <c:pt idx="76">
                  <c:v>792800000</c:v>
                </c:pt>
                <c:pt idx="77">
                  <c:v>803200000</c:v>
                </c:pt>
                <c:pt idx="78">
                  <c:v>813600000</c:v>
                </c:pt>
                <c:pt idx="79">
                  <c:v>824000000</c:v>
                </c:pt>
                <c:pt idx="80">
                  <c:v>834400000</c:v>
                </c:pt>
                <c:pt idx="81">
                  <c:v>844800000</c:v>
                </c:pt>
                <c:pt idx="82">
                  <c:v>855200000</c:v>
                </c:pt>
                <c:pt idx="83">
                  <c:v>865600000</c:v>
                </c:pt>
                <c:pt idx="84">
                  <c:v>876000000</c:v>
                </c:pt>
                <c:pt idx="85">
                  <c:v>886400000</c:v>
                </c:pt>
                <c:pt idx="86">
                  <c:v>896800000</c:v>
                </c:pt>
                <c:pt idx="87">
                  <c:v>907200000</c:v>
                </c:pt>
                <c:pt idx="88">
                  <c:v>917600000</c:v>
                </c:pt>
                <c:pt idx="89">
                  <c:v>928000000</c:v>
                </c:pt>
                <c:pt idx="90">
                  <c:v>928000000</c:v>
                </c:pt>
                <c:pt idx="91">
                  <c:v>928000000</c:v>
                </c:pt>
                <c:pt idx="92">
                  <c:v>928000000</c:v>
                </c:pt>
                <c:pt idx="93">
                  <c:v>928000000</c:v>
                </c:pt>
                <c:pt idx="94">
                  <c:v>928000000</c:v>
                </c:pt>
                <c:pt idx="95">
                  <c:v>928000000</c:v>
                </c:pt>
                <c:pt idx="96">
                  <c:v>928000000</c:v>
                </c:pt>
                <c:pt idx="97">
                  <c:v>928000000</c:v>
                </c:pt>
                <c:pt idx="98">
                  <c:v>928000000</c:v>
                </c:pt>
                <c:pt idx="99">
                  <c:v>928000000</c:v>
                </c:pt>
                <c:pt idx="100">
                  <c:v>928000000</c:v>
                </c:pt>
                <c:pt idx="101">
                  <c:v>928000000</c:v>
                </c:pt>
                <c:pt idx="102">
                  <c:v>928000000</c:v>
                </c:pt>
                <c:pt idx="103">
                  <c:v>928000000</c:v>
                </c:pt>
                <c:pt idx="104">
                  <c:v>928000000</c:v>
                </c:pt>
                <c:pt idx="105">
                  <c:v>928000000</c:v>
                </c:pt>
                <c:pt idx="106">
                  <c:v>928000000</c:v>
                </c:pt>
                <c:pt idx="107">
                  <c:v>928000000</c:v>
                </c:pt>
                <c:pt idx="108">
                  <c:v>928000000</c:v>
                </c:pt>
                <c:pt idx="109">
                  <c:v>928000000</c:v>
                </c:pt>
                <c:pt idx="110">
                  <c:v>928000000</c:v>
                </c:pt>
                <c:pt idx="111">
                  <c:v>928000000</c:v>
                </c:pt>
                <c:pt idx="112">
                  <c:v>928000000</c:v>
                </c:pt>
                <c:pt idx="113">
                  <c:v>928000000</c:v>
                </c:pt>
                <c:pt idx="114">
                  <c:v>928000000</c:v>
                </c:pt>
                <c:pt idx="115">
                  <c:v>928000000</c:v>
                </c:pt>
                <c:pt idx="116">
                  <c:v>928000000</c:v>
                </c:pt>
                <c:pt idx="117">
                  <c:v>928000000</c:v>
                </c:pt>
                <c:pt idx="118">
                  <c:v>928000000</c:v>
                </c:pt>
                <c:pt idx="119">
                  <c:v>928000000</c:v>
                </c:pt>
                <c:pt idx="120">
                  <c:v>928000000</c:v>
                </c:pt>
                <c:pt idx="121">
                  <c:v>928000000</c:v>
                </c:pt>
                <c:pt idx="122">
                  <c:v>928000000</c:v>
                </c:pt>
                <c:pt idx="123">
                  <c:v>928000000</c:v>
                </c:pt>
                <c:pt idx="124">
                  <c:v>928000000</c:v>
                </c:pt>
                <c:pt idx="125">
                  <c:v>928000000</c:v>
                </c:pt>
                <c:pt idx="126">
                  <c:v>928000000</c:v>
                </c:pt>
                <c:pt idx="127">
                  <c:v>928000000</c:v>
                </c:pt>
                <c:pt idx="128">
                  <c:v>928000000</c:v>
                </c:pt>
                <c:pt idx="129">
                  <c:v>928000000</c:v>
                </c:pt>
                <c:pt idx="130">
                  <c:v>928000000</c:v>
                </c:pt>
                <c:pt idx="131">
                  <c:v>928000000</c:v>
                </c:pt>
                <c:pt idx="132">
                  <c:v>928000000</c:v>
                </c:pt>
                <c:pt idx="133">
                  <c:v>928000000</c:v>
                </c:pt>
                <c:pt idx="134">
                  <c:v>928000000</c:v>
                </c:pt>
                <c:pt idx="135">
                  <c:v>928000000</c:v>
                </c:pt>
                <c:pt idx="136">
                  <c:v>928000000</c:v>
                </c:pt>
                <c:pt idx="137">
                  <c:v>928000000</c:v>
                </c:pt>
                <c:pt idx="138">
                  <c:v>928000000</c:v>
                </c:pt>
                <c:pt idx="139">
                  <c:v>928000000</c:v>
                </c:pt>
                <c:pt idx="140">
                  <c:v>928000000</c:v>
                </c:pt>
                <c:pt idx="141">
                  <c:v>928000000</c:v>
                </c:pt>
                <c:pt idx="142">
                  <c:v>928000000</c:v>
                </c:pt>
                <c:pt idx="143">
                  <c:v>928000000</c:v>
                </c:pt>
                <c:pt idx="144">
                  <c:v>928000000</c:v>
                </c:pt>
                <c:pt idx="145">
                  <c:v>928000000</c:v>
                </c:pt>
                <c:pt idx="146">
                  <c:v>928000000</c:v>
                </c:pt>
                <c:pt idx="147">
                  <c:v>928000000</c:v>
                </c:pt>
                <c:pt idx="148">
                  <c:v>928000000</c:v>
                </c:pt>
                <c:pt idx="149">
                  <c:v>928000000</c:v>
                </c:pt>
                <c:pt idx="150">
                  <c:v>928000000</c:v>
                </c:pt>
                <c:pt idx="151">
                  <c:v>928000000</c:v>
                </c:pt>
                <c:pt idx="152">
                  <c:v>928000000</c:v>
                </c:pt>
                <c:pt idx="153">
                  <c:v>928000000</c:v>
                </c:pt>
                <c:pt idx="154">
                  <c:v>928000000</c:v>
                </c:pt>
                <c:pt idx="155">
                  <c:v>928000000</c:v>
                </c:pt>
                <c:pt idx="156">
                  <c:v>928000000</c:v>
                </c:pt>
                <c:pt idx="157">
                  <c:v>928000000</c:v>
                </c:pt>
                <c:pt idx="158">
                  <c:v>928000000</c:v>
                </c:pt>
                <c:pt idx="159">
                  <c:v>928000000</c:v>
                </c:pt>
                <c:pt idx="160">
                  <c:v>928000000</c:v>
                </c:pt>
                <c:pt idx="161">
                  <c:v>928000000</c:v>
                </c:pt>
                <c:pt idx="162">
                  <c:v>928000000</c:v>
                </c:pt>
                <c:pt idx="163">
                  <c:v>928000000</c:v>
                </c:pt>
                <c:pt idx="164">
                  <c:v>928000000</c:v>
                </c:pt>
                <c:pt idx="165">
                  <c:v>928000000</c:v>
                </c:pt>
                <c:pt idx="166">
                  <c:v>928000000</c:v>
                </c:pt>
                <c:pt idx="167">
                  <c:v>928000000</c:v>
                </c:pt>
                <c:pt idx="168">
                  <c:v>928000000</c:v>
                </c:pt>
                <c:pt idx="169">
                  <c:v>928000000</c:v>
                </c:pt>
                <c:pt idx="170">
                  <c:v>928000000</c:v>
                </c:pt>
                <c:pt idx="171">
                  <c:v>928000000</c:v>
                </c:pt>
                <c:pt idx="172">
                  <c:v>928000000</c:v>
                </c:pt>
                <c:pt idx="173">
                  <c:v>928000000</c:v>
                </c:pt>
                <c:pt idx="174">
                  <c:v>928000000</c:v>
                </c:pt>
                <c:pt idx="175">
                  <c:v>928000000</c:v>
                </c:pt>
                <c:pt idx="176">
                  <c:v>928000000</c:v>
                </c:pt>
                <c:pt idx="177">
                  <c:v>928000000</c:v>
                </c:pt>
                <c:pt idx="178">
                  <c:v>928000000</c:v>
                </c:pt>
                <c:pt idx="179">
                  <c:v>928000000</c:v>
                </c:pt>
                <c:pt idx="180">
                  <c:v>928000000</c:v>
                </c:pt>
                <c:pt idx="181">
                  <c:v>928000000</c:v>
                </c:pt>
                <c:pt idx="182">
                  <c:v>928000000</c:v>
                </c:pt>
                <c:pt idx="183">
                  <c:v>928000000</c:v>
                </c:pt>
                <c:pt idx="184">
                  <c:v>928000000</c:v>
                </c:pt>
                <c:pt idx="185">
                  <c:v>928000000</c:v>
                </c:pt>
                <c:pt idx="186">
                  <c:v>928000000</c:v>
                </c:pt>
                <c:pt idx="187">
                  <c:v>928000000</c:v>
                </c:pt>
                <c:pt idx="188">
                  <c:v>928000000</c:v>
                </c:pt>
                <c:pt idx="189">
                  <c:v>928000000</c:v>
                </c:pt>
                <c:pt idx="190">
                  <c:v>928000000</c:v>
                </c:pt>
                <c:pt idx="191">
                  <c:v>928000000</c:v>
                </c:pt>
                <c:pt idx="192">
                  <c:v>928000000</c:v>
                </c:pt>
                <c:pt idx="193">
                  <c:v>928000000</c:v>
                </c:pt>
                <c:pt idx="194">
                  <c:v>928000000</c:v>
                </c:pt>
                <c:pt idx="195">
                  <c:v>928000000</c:v>
                </c:pt>
                <c:pt idx="196">
                  <c:v>928000000</c:v>
                </c:pt>
                <c:pt idx="197">
                  <c:v>928000000</c:v>
                </c:pt>
                <c:pt idx="198">
                  <c:v>928000000</c:v>
                </c:pt>
                <c:pt idx="199">
                  <c:v>928000000</c:v>
                </c:pt>
                <c:pt idx="200">
                  <c:v>928000000</c:v>
                </c:pt>
                <c:pt idx="201">
                  <c:v>928000000</c:v>
                </c:pt>
                <c:pt idx="202">
                  <c:v>928000000</c:v>
                </c:pt>
                <c:pt idx="203">
                  <c:v>928000000</c:v>
                </c:pt>
                <c:pt idx="204">
                  <c:v>928000000</c:v>
                </c:pt>
                <c:pt idx="205">
                  <c:v>928000000</c:v>
                </c:pt>
                <c:pt idx="206">
                  <c:v>928000000</c:v>
                </c:pt>
                <c:pt idx="207">
                  <c:v>928000000</c:v>
                </c:pt>
                <c:pt idx="208">
                  <c:v>928000000</c:v>
                </c:pt>
                <c:pt idx="209">
                  <c:v>928000000</c:v>
                </c:pt>
                <c:pt idx="210">
                  <c:v>928000000</c:v>
                </c:pt>
                <c:pt idx="211">
                  <c:v>928000000</c:v>
                </c:pt>
                <c:pt idx="212">
                  <c:v>928000000</c:v>
                </c:pt>
                <c:pt idx="213">
                  <c:v>928000000</c:v>
                </c:pt>
                <c:pt idx="214">
                  <c:v>928000000</c:v>
                </c:pt>
                <c:pt idx="215">
                  <c:v>928000000</c:v>
                </c:pt>
                <c:pt idx="216">
                  <c:v>928000000</c:v>
                </c:pt>
                <c:pt idx="217">
                  <c:v>928000000</c:v>
                </c:pt>
                <c:pt idx="218">
                  <c:v>928000000</c:v>
                </c:pt>
                <c:pt idx="219">
                  <c:v>928000000</c:v>
                </c:pt>
                <c:pt idx="220">
                  <c:v>928000000</c:v>
                </c:pt>
                <c:pt idx="221">
                  <c:v>928000000</c:v>
                </c:pt>
                <c:pt idx="222">
                  <c:v>928000000</c:v>
                </c:pt>
                <c:pt idx="223">
                  <c:v>928000000</c:v>
                </c:pt>
                <c:pt idx="224">
                  <c:v>928000000</c:v>
                </c:pt>
                <c:pt idx="225">
                  <c:v>928000000</c:v>
                </c:pt>
                <c:pt idx="226">
                  <c:v>928000000</c:v>
                </c:pt>
                <c:pt idx="227">
                  <c:v>928000000</c:v>
                </c:pt>
                <c:pt idx="228">
                  <c:v>934400000</c:v>
                </c:pt>
                <c:pt idx="229">
                  <c:v>944800000</c:v>
                </c:pt>
                <c:pt idx="230">
                  <c:v>955200000</c:v>
                </c:pt>
                <c:pt idx="231">
                  <c:v>965600000</c:v>
                </c:pt>
                <c:pt idx="232">
                  <c:v>976000000</c:v>
                </c:pt>
                <c:pt idx="233">
                  <c:v>986400000</c:v>
                </c:pt>
                <c:pt idx="234">
                  <c:v>996800000</c:v>
                </c:pt>
                <c:pt idx="235">
                  <c:v>1007200000</c:v>
                </c:pt>
                <c:pt idx="236">
                  <c:v>1017600000</c:v>
                </c:pt>
                <c:pt idx="237">
                  <c:v>1028000000</c:v>
                </c:pt>
                <c:pt idx="238">
                  <c:v>1038400000</c:v>
                </c:pt>
                <c:pt idx="239">
                  <c:v>1048800000</c:v>
                </c:pt>
                <c:pt idx="240">
                  <c:v>1059200000</c:v>
                </c:pt>
                <c:pt idx="241">
                  <c:v>1069600000</c:v>
                </c:pt>
                <c:pt idx="242">
                  <c:v>1080000000</c:v>
                </c:pt>
                <c:pt idx="243">
                  <c:v>1090400000</c:v>
                </c:pt>
                <c:pt idx="244">
                  <c:v>1100800000</c:v>
                </c:pt>
                <c:pt idx="245">
                  <c:v>1111200000</c:v>
                </c:pt>
                <c:pt idx="246">
                  <c:v>1121600000</c:v>
                </c:pt>
                <c:pt idx="247">
                  <c:v>1132000000</c:v>
                </c:pt>
                <c:pt idx="248">
                  <c:v>1142400000</c:v>
                </c:pt>
                <c:pt idx="249">
                  <c:v>1152800000</c:v>
                </c:pt>
                <c:pt idx="250">
                  <c:v>1163200000</c:v>
                </c:pt>
                <c:pt idx="251">
                  <c:v>1173600000</c:v>
                </c:pt>
                <c:pt idx="252">
                  <c:v>1184000000</c:v>
                </c:pt>
                <c:pt idx="253">
                  <c:v>1194400000</c:v>
                </c:pt>
                <c:pt idx="254">
                  <c:v>1204800000</c:v>
                </c:pt>
                <c:pt idx="255">
                  <c:v>1215200000</c:v>
                </c:pt>
                <c:pt idx="256">
                  <c:v>1225600000</c:v>
                </c:pt>
                <c:pt idx="257">
                  <c:v>1236000000</c:v>
                </c:pt>
                <c:pt idx="258">
                  <c:v>1246400000</c:v>
                </c:pt>
                <c:pt idx="259">
                  <c:v>1256800000</c:v>
                </c:pt>
                <c:pt idx="260">
                  <c:v>1267200000</c:v>
                </c:pt>
                <c:pt idx="261">
                  <c:v>1277600000</c:v>
                </c:pt>
                <c:pt idx="262">
                  <c:v>1288000000</c:v>
                </c:pt>
                <c:pt idx="263">
                  <c:v>1298400000</c:v>
                </c:pt>
                <c:pt idx="264">
                  <c:v>1308800000</c:v>
                </c:pt>
                <c:pt idx="265">
                  <c:v>1319200000</c:v>
                </c:pt>
                <c:pt idx="266">
                  <c:v>1329600000</c:v>
                </c:pt>
                <c:pt idx="267">
                  <c:v>1340000000</c:v>
                </c:pt>
                <c:pt idx="268">
                  <c:v>1350400000</c:v>
                </c:pt>
                <c:pt idx="269">
                  <c:v>1360800000</c:v>
                </c:pt>
                <c:pt idx="270">
                  <c:v>1371200000</c:v>
                </c:pt>
                <c:pt idx="271">
                  <c:v>1381600000</c:v>
                </c:pt>
                <c:pt idx="272">
                  <c:v>1392000000</c:v>
                </c:pt>
                <c:pt idx="273">
                  <c:v>1392000000</c:v>
                </c:pt>
                <c:pt idx="274">
                  <c:v>1392000000</c:v>
                </c:pt>
                <c:pt idx="275">
                  <c:v>1392000000</c:v>
                </c:pt>
                <c:pt idx="276">
                  <c:v>1392000000</c:v>
                </c:pt>
                <c:pt idx="277">
                  <c:v>1392000000</c:v>
                </c:pt>
                <c:pt idx="278">
                  <c:v>1392000000</c:v>
                </c:pt>
                <c:pt idx="279">
                  <c:v>1392000000</c:v>
                </c:pt>
                <c:pt idx="280">
                  <c:v>1392000000</c:v>
                </c:pt>
                <c:pt idx="281">
                  <c:v>1392000000</c:v>
                </c:pt>
                <c:pt idx="282">
                  <c:v>1392000000</c:v>
                </c:pt>
                <c:pt idx="283">
                  <c:v>1392000000</c:v>
                </c:pt>
                <c:pt idx="284">
                  <c:v>1392000000</c:v>
                </c:pt>
                <c:pt idx="285">
                  <c:v>1392000000</c:v>
                </c:pt>
                <c:pt idx="286">
                  <c:v>1392000000</c:v>
                </c:pt>
                <c:pt idx="287">
                  <c:v>1392000000</c:v>
                </c:pt>
                <c:pt idx="288">
                  <c:v>1392000000</c:v>
                </c:pt>
                <c:pt idx="289">
                  <c:v>1392000000</c:v>
                </c:pt>
                <c:pt idx="290">
                  <c:v>1392000000</c:v>
                </c:pt>
                <c:pt idx="291">
                  <c:v>1392000000</c:v>
                </c:pt>
                <c:pt idx="292">
                  <c:v>1392000000</c:v>
                </c:pt>
                <c:pt idx="293">
                  <c:v>1392000000</c:v>
                </c:pt>
                <c:pt idx="294">
                  <c:v>1392000000</c:v>
                </c:pt>
                <c:pt idx="295">
                  <c:v>1392000000</c:v>
                </c:pt>
                <c:pt idx="296">
                  <c:v>1392000000</c:v>
                </c:pt>
                <c:pt idx="297">
                  <c:v>1392000000</c:v>
                </c:pt>
                <c:pt idx="298">
                  <c:v>1392000000</c:v>
                </c:pt>
                <c:pt idx="299">
                  <c:v>1392000000</c:v>
                </c:pt>
                <c:pt idx="300">
                  <c:v>1392000000</c:v>
                </c:pt>
                <c:pt idx="301">
                  <c:v>1392000000</c:v>
                </c:pt>
                <c:pt idx="302">
                  <c:v>1392000000</c:v>
                </c:pt>
                <c:pt idx="303">
                  <c:v>1392000000</c:v>
                </c:pt>
                <c:pt idx="304">
                  <c:v>1392000000</c:v>
                </c:pt>
                <c:pt idx="305">
                  <c:v>1392000000</c:v>
                </c:pt>
                <c:pt idx="306">
                  <c:v>1392000000</c:v>
                </c:pt>
                <c:pt idx="307">
                  <c:v>1392000000</c:v>
                </c:pt>
                <c:pt idx="308">
                  <c:v>1392000000</c:v>
                </c:pt>
                <c:pt idx="309">
                  <c:v>1392000000</c:v>
                </c:pt>
                <c:pt idx="310">
                  <c:v>1392000000</c:v>
                </c:pt>
                <c:pt idx="311">
                  <c:v>1392000000</c:v>
                </c:pt>
                <c:pt idx="312">
                  <c:v>1392000000</c:v>
                </c:pt>
                <c:pt idx="313">
                  <c:v>1392000000</c:v>
                </c:pt>
                <c:pt idx="314">
                  <c:v>1392000000</c:v>
                </c:pt>
                <c:pt idx="315">
                  <c:v>1392000000</c:v>
                </c:pt>
                <c:pt idx="316">
                  <c:v>1392000000</c:v>
                </c:pt>
                <c:pt idx="317">
                  <c:v>1392000000</c:v>
                </c:pt>
                <c:pt idx="318">
                  <c:v>1392000000</c:v>
                </c:pt>
                <c:pt idx="319">
                  <c:v>1392000000</c:v>
                </c:pt>
                <c:pt idx="320">
                  <c:v>1392000000</c:v>
                </c:pt>
                <c:pt idx="321">
                  <c:v>1392000000</c:v>
                </c:pt>
                <c:pt idx="322">
                  <c:v>1396000000</c:v>
                </c:pt>
                <c:pt idx="323">
                  <c:v>1418000000</c:v>
                </c:pt>
                <c:pt idx="324">
                  <c:v>1440000000</c:v>
                </c:pt>
                <c:pt idx="325">
                  <c:v>1462000000</c:v>
                </c:pt>
                <c:pt idx="326">
                  <c:v>1484000000</c:v>
                </c:pt>
                <c:pt idx="327">
                  <c:v>1506000000</c:v>
                </c:pt>
                <c:pt idx="328">
                  <c:v>1528000000</c:v>
                </c:pt>
                <c:pt idx="329">
                  <c:v>1550000000</c:v>
                </c:pt>
                <c:pt idx="330">
                  <c:v>1572000000</c:v>
                </c:pt>
                <c:pt idx="331">
                  <c:v>1594000000</c:v>
                </c:pt>
                <c:pt idx="332">
                  <c:v>1616000000</c:v>
                </c:pt>
                <c:pt idx="333">
                  <c:v>1638000000</c:v>
                </c:pt>
                <c:pt idx="334">
                  <c:v>1660000000</c:v>
                </c:pt>
                <c:pt idx="335">
                  <c:v>1682000000</c:v>
                </c:pt>
                <c:pt idx="336">
                  <c:v>1704000000</c:v>
                </c:pt>
                <c:pt idx="337">
                  <c:v>1726000000</c:v>
                </c:pt>
                <c:pt idx="338">
                  <c:v>1748000000</c:v>
                </c:pt>
                <c:pt idx="339">
                  <c:v>1770000000</c:v>
                </c:pt>
                <c:pt idx="340">
                  <c:v>1792000000</c:v>
                </c:pt>
                <c:pt idx="341">
                  <c:v>1814000000</c:v>
                </c:pt>
                <c:pt idx="342">
                  <c:v>1836000000</c:v>
                </c:pt>
                <c:pt idx="343">
                  <c:v>1858000000</c:v>
                </c:pt>
                <c:pt idx="344">
                  <c:v>1880000000</c:v>
                </c:pt>
                <c:pt idx="345">
                  <c:v>1902000000</c:v>
                </c:pt>
                <c:pt idx="346">
                  <c:v>1924000000</c:v>
                </c:pt>
                <c:pt idx="347">
                  <c:v>1946000000</c:v>
                </c:pt>
                <c:pt idx="348">
                  <c:v>1968000000</c:v>
                </c:pt>
                <c:pt idx="349">
                  <c:v>1990000000</c:v>
                </c:pt>
                <c:pt idx="350">
                  <c:v>2012000000</c:v>
                </c:pt>
                <c:pt idx="351">
                  <c:v>2034000000</c:v>
                </c:pt>
                <c:pt idx="352">
                  <c:v>2056000000</c:v>
                </c:pt>
                <c:pt idx="353">
                  <c:v>2078000000</c:v>
                </c:pt>
                <c:pt idx="354">
                  <c:v>2100000000</c:v>
                </c:pt>
                <c:pt idx="355">
                  <c:v>2122000000</c:v>
                </c:pt>
                <c:pt idx="356">
                  <c:v>2144000000</c:v>
                </c:pt>
                <c:pt idx="357">
                  <c:v>2166000000</c:v>
                </c:pt>
                <c:pt idx="358">
                  <c:v>2188000000</c:v>
                </c:pt>
                <c:pt idx="359">
                  <c:v>2210000000</c:v>
                </c:pt>
                <c:pt idx="360">
                  <c:v>2232000000</c:v>
                </c:pt>
                <c:pt idx="361">
                  <c:v>2254000000</c:v>
                </c:pt>
                <c:pt idx="362">
                  <c:v>2276000000</c:v>
                </c:pt>
                <c:pt idx="363">
                  <c:v>2298000000</c:v>
                </c:pt>
                <c:pt idx="364">
                  <c:v>2320000000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CE-4B18-B075-81BD9332FCF2}"/>
            </c:ext>
          </c:extLst>
        </c:ser>
        <c:ser>
          <c:idx val="1"/>
          <c:order val="1"/>
          <c:tx>
            <c:v>Область допустимых значений отбора</c:v>
          </c:tx>
          <c:spPr>
            <a:solidFill>
              <a:schemeClr val="accent1">
                <a:lumMod val="40000"/>
                <a:lumOff val="60000"/>
              </a:schemeClr>
            </a:solidFill>
            <a:ln w="25400">
              <a:noFill/>
            </a:ln>
            <a:effectLst/>
          </c:spPr>
          <c:val>
            <c:numRef>
              <c:f>График!$B$2:$B$366</c:f>
              <c:numCache>
                <c:formatCode>#,##0</c:formatCode>
                <c:ptCount val="365"/>
                <c:pt idx="0">
                  <c:v>8000000</c:v>
                </c:pt>
                <c:pt idx="1">
                  <c:v>8000000</c:v>
                </c:pt>
                <c:pt idx="2">
                  <c:v>8000000</c:v>
                </c:pt>
                <c:pt idx="3">
                  <c:v>8000000</c:v>
                </c:pt>
                <c:pt idx="4">
                  <c:v>8000000</c:v>
                </c:pt>
                <c:pt idx="5">
                  <c:v>8000000</c:v>
                </c:pt>
                <c:pt idx="6">
                  <c:v>8000000</c:v>
                </c:pt>
                <c:pt idx="7">
                  <c:v>8000000</c:v>
                </c:pt>
                <c:pt idx="8">
                  <c:v>8000000</c:v>
                </c:pt>
                <c:pt idx="9">
                  <c:v>8000000</c:v>
                </c:pt>
                <c:pt idx="10">
                  <c:v>8000000</c:v>
                </c:pt>
                <c:pt idx="11">
                  <c:v>8000000</c:v>
                </c:pt>
                <c:pt idx="12">
                  <c:v>8000000</c:v>
                </c:pt>
                <c:pt idx="13">
                  <c:v>8000000</c:v>
                </c:pt>
                <c:pt idx="14">
                  <c:v>8000000</c:v>
                </c:pt>
                <c:pt idx="15">
                  <c:v>8000000</c:v>
                </c:pt>
                <c:pt idx="16">
                  <c:v>8000000</c:v>
                </c:pt>
                <c:pt idx="17">
                  <c:v>8000000</c:v>
                </c:pt>
                <c:pt idx="18">
                  <c:v>8000000</c:v>
                </c:pt>
                <c:pt idx="19">
                  <c:v>8000000</c:v>
                </c:pt>
                <c:pt idx="20">
                  <c:v>8000000</c:v>
                </c:pt>
                <c:pt idx="21">
                  <c:v>8000000</c:v>
                </c:pt>
                <c:pt idx="22">
                  <c:v>8000000</c:v>
                </c:pt>
                <c:pt idx="23">
                  <c:v>8000000</c:v>
                </c:pt>
                <c:pt idx="24">
                  <c:v>8000000</c:v>
                </c:pt>
                <c:pt idx="25">
                  <c:v>8000000</c:v>
                </c:pt>
                <c:pt idx="26">
                  <c:v>8000000</c:v>
                </c:pt>
                <c:pt idx="27">
                  <c:v>8000000</c:v>
                </c:pt>
                <c:pt idx="28">
                  <c:v>8000000</c:v>
                </c:pt>
                <c:pt idx="29">
                  <c:v>8000000</c:v>
                </c:pt>
                <c:pt idx="30">
                  <c:v>8000000</c:v>
                </c:pt>
                <c:pt idx="31">
                  <c:v>8000000</c:v>
                </c:pt>
                <c:pt idx="32">
                  <c:v>8000000</c:v>
                </c:pt>
                <c:pt idx="33">
                  <c:v>8000000</c:v>
                </c:pt>
                <c:pt idx="34">
                  <c:v>8000000</c:v>
                </c:pt>
                <c:pt idx="35">
                  <c:v>8000000</c:v>
                </c:pt>
                <c:pt idx="36">
                  <c:v>8000000</c:v>
                </c:pt>
                <c:pt idx="37">
                  <c:v>8000000</c:v>
                </c:pt>
                <c:pt idx="38">
                  <c:v>8000000</c:v>
                </c:pt>
                <c:pt idx="39">
                  <c:v>8000000</c:v>
                </c:pt>
                <c:pt idx="40">
                  <c:v>8000000</c:v>
                </c:pt>
                <c:pt idx="41">
                  <c:v>8000000</c:v>
                </c:pt>
                <c:pt idx="42">
                  <c:v>8000000</c:v>
                </c:pt>
                <c:pt idx="43">
                  <c:v>8000000</c:v>
                </c:pt>
                <c:pt idx="44">
                  <c:v>8000000</c:v>
                </c:pt>
                <c:pt idx="45">
                  <c:v>8000000</c:v>
                </c:pt>
                <c:pt idx="46">
                  <c:v>8000000</c:v>
                </c:pt>
                <c:pt idx="47">
                  <c:v>8000000</c:v>
                </c:pt>
                <c:pt idx="48">
                  <c:v>8000000</c:v>
                </c:pt>
                <c:pt idx="49">
                  <c:v>8000000</c:v>
                </c:pt>
                <c:pt idx="50">
                  <c:v>8000000</c:v>
                </c:pt>
                <c:pt idx="51">
                  <c:v>8000000</c:v>
                </c:pt>
                <c:pt idx="52">
                  <c:v>8000000</c:v>
                </c:pt>
                <c:pt idx="53">
                  <c:v>8000000</c:v>
                </c:pt>
                <c:pt idx="54">
                  <c:v>8000000</c:v>
                </c:pt>
                <c:pt idx="55">
                  <c:v>8000000</c:v>
                </c:pt>
                <c:pt idx="56">
                  <c:v>8000000</c:v>
                </c:pt>
                <c:pt idx="57">
                  <c:v>8000000</c:v>
                </c:pt>
                <c:pt idx="58">
                  <c:v>8000000</c:v>
                </c:pt>
                <c:pt idx="59">
                  <c:v>8000000</c:v>
                </c:pt>
                <c:pt idx="60">
                  <c:v>8000000</c:v>
                </c:pt>
                <c:pt idx="61">
                  <c:v>8000000</c:v>
                </c:pt>
                <c:pt idx="62">
                  <c:v>8000000</c:v>
                </c:pt>
                <c:pt idx="63">
                  <c:v>8000000</c:v>
                </c:pt>
                <c:pt idx="64">
                  <c:v>8000000</c:v>
                </c:pt>
                <c:pt idx="65">
                  <c:v>8000000</c:v>
                </c:pt>
                <c:pt idx="66">
                  <c:v>8000000</c:v>
                </c:pt>
                <c:pt idx="67">
                  <c:v>8000000</c:v>
                </c:pt>
                <c:pt idx="68">
                  <c:v>8000000</c:v>
                </c:pt>
                <c:pt idx="69">
                  <c:v>8000000</c:v>
                </c:pt>
                <c:pt idx="70">
                  <c:v>8000000</c:v>
                </c:pt>
                <c:pt idx="71">
                  <c:v>8000000</c:v>
                </c:pt>
                <c:pt idx="72">
                  <c:v>8000000</c:v>
                </c:pt>
                <c:pt idx="73">
                  <c:v>8000000</c:v>
                </c:pt>
                <c:pt idx="74">
                  <c:v>8000000</c:v>
                </c:pt>
                <c:pt idx="75">
                  <c:v>8000000</c:v>
                </c:pt>
                <c:pt idx="76">
                  <c:v>8000000</c:v>
                </c:pt>
                <c:pt idx="77">
                  <c:v>8000000</c:v>
                </c:pt>
                <c:pt idx="78">
                  <c:v>8000000</c:v>
                </c:pt>
                <c:pt idx="79">
                  <c:v>8000000</c:v>
                </c:pt>
                <c:pt idx="80">
                  <c:v>8000000</c:v>
                </c:pt>
                <c:pt idx="81">
                  <c:v>8000000</c:v>
                </c:pt>
                <c:pt idx="82">
                  <c:v>8000000</c:v>
                </c:pt>
                <c:pt idx="83">
                  <c:v>8000000</c:v>
                </c:pt>
                <c:pt idx="84">
                  <c:v>8000000</c:v>
                </c:pt>
                <c:pt idx="85">
                  <c:v>8000000</c:v>
                </c:pt>
                <c:pt idx="86">
                  <c:v>8000000</c:v>
                </c:pt>
                <c:pt idx="87">
                  <c:v>8000000</c:v>
                </c:pt>
                <c:pt idx="88">
                  <c:v>8000000</c:v>
                </c:pt>
                <c:pt idx="89">
                  <c:v>8000000</c:v>
                </c:pt>
                <c:pt idx="90">
                  <c:v>18400000</c:v>
                </c:pt>
                <c:pt idx="91">
                  <c:v>28800000</c:v>
                </c:pt>
                <c:pt idx="92">
                  <c:v>39200000</c:v>
                </c:pt>
                <c:pt idx="93">
                  <c:v>49600000</c:v>
                </c:pt>
                <c:pt idx="94">
                  <c:v>60000000</c:v>
                </c:pt>
                <c:pt idx="95">
                  <c:v>70400000</c:v>
                </c:pt>
                <c:pt idx="96">
                  <c:v>80800000</c:v>
                </c:pt>
                <c:pt idx="97">
                  <c:v>91200000</c:v>
                </c:pt>
                <c:pt idx="98">
                  <c:v>101600000</c:v>
                </c:pt>
                <c:pt idx="99">
                  <c:v>112000000</c:v>
                </c:pt>
                <c:pt idx="100">
                  <c:v>122400000</c:v>
                </c:pt>
                <c:pt idx="101">
                  <c:v>132800000</c:v>
                </c:pt>
                <c:pt idx="102">
                  <c:v>143200000</c:v>
                </c:pt>
                <c:pt idx="103">
                  <c:v>153600000</c:v>
                </c:pt>
                <c:pt idx="104">
                  <c:v>164000000</c:v>
                </c:pt>
                <c:pt idx="105">
                  <c:v>174400000</c:v>
                </c:pt>
                <c:pt idx="106">
                  <c:v>184800000</c:v>
                </c:pt>
                <c:pt idx="107">
                  <c:v>195200000</c:v>
                </c:pt>
                <c:pt idx="108">
                  <c:v>205600000</c:v>
                </c:pt>
                <c:pt idx="109">
                  <c:v>216000000</c:v>
                </c:pt>
                <c:pt idx="110">
                  <c:v>226400000</c:v>
                </c:pt>
                <c:pt idx="111">
                  <c:v>236800000</c:v>
                </c:pt>
                <c:pt idx="112">
                  <c:v>247200000</c:v>
                </c:pt>
                <c:pt idx="113">
                  <c:v>257600000</c:v>
                </c:pt>
                <c:pt idx="114">
                  <c:v>268000000</c:v>
                </c:pt>
                <c:pt idx="115">
                  <c:v>278400000</c:v>
                </c:pt>
                <c:pt idx="116">
                  <c:v>288800000</c:v>
                </c:pt>
                <c:pt idx="117">
                  <c:v>299200000</c:v>
                </c:pt>
                <c:pt idx="118">
                  <c:v>309600000</c:v>
                </c:pt>
                <c:pt idx="119">
                  <c:v>320000000</c:v>
                </c:pt>
                <c:pt idx="120">
                  <c:v>330400000</c:v>
                </c:pt>
                <c:pt idx="121">
                  <c:v>340800000</c:v>
                </c:pt>
                <c:pt idx="122">
                  <c:v>351200000</c:v>
                </c:pt>
                <c:pt idx="123">
                  <c:v>361600000</c:v>
                </c:pt>
                <c:pt idx="124">
                  <c:v>372000000</c:v>
                </c:pt>
                <c:pt idx="125">
                  <c:v>382400000</c:v>
                </c:pt>
                <c:pt idx="126">
                  <c:v>392800000</c:v>
                </c:pt>
                <c:pt idx="127">
                  <c:v>403200000</c:v>
                </c:pt>
                <c:pt idx="128">
                  <c:v>413600000</c:v>
                </c:pt>
                <c:pt idx="129">
                  <c:v>424000000</c:v>
                </c:pt>
                <c:pt idx="130">
                  <c:v>434400000</c:v>
                </c:pt>
                <c:pt idx="131">
                  <c:v>444800000</c:v>
                </c:pt>
                <c:pt idx="132">
                  <c:v>455200000</c:v>
                </c:pt>
                <c:pt idx="133">
                  <c:v>465600000</c:v>
                </c:pt>
                <c:pt idx="134">
                  <c:v>476000000</c:v>
                </c:pt>
                <c:pt idx="135">
                  <c:v>486400000</c:v>
                </c:pt>
                <c:pt idx="136">
                  <c:v>496800000</c:v>
                </c:pt>
                <c:pt idx="137">
                  <c:v>507200000</c:v>
                </c:pt>
                <c:pt idx="138">
                  <c:v>511400000</c:v>
                </c:pt>
                <c:pt idx="139">
                  <c:v>511400000</c:v>
                </c:pt>
                <c:pt idx="140">
                  <c:v>511400000</c:v>
                </c:pt>
                <c:pt idx="141">
                  <c:v>511400000</c:v>
                </c:pt>
                <c:pt idx="142">
                  <c:v>511400000</c:v>
                </c:pt>
                <c:pt idx="143">
                  <c:v>511400000</c:v>
                </c:pt>
                <c:pt idx="144">
                  <c:v>511400000</c:v>
                </c:pt>
                <c:pt idx="145">
                  <c:v>511400000</c:v>
                </c:pt>
                <c:pt idx="146">
                  <c:v>511400000</c:v>
                </c:pt>
                <c:pt idx="147">
                  <c:v>511400000</c:v>
                </c:pt>
                <c:pt idx="148">
                  <c:v>511400000</c:v>
                </c:pt>
                <c:pt idx="149">
                  <c:v>511400000</c:v>
                </c:pt>
                <c:pt idx="150">
                  <c:v>511400000</c:v>
                </c:pt>
                <c:pt idx="151">
                  <c:v>511400000</c:v>
                </c:pt>
                <c:pt idx="152">
                  <c:v>511400000</c:v>
                </c:pt>
                <c:pt idx="153">
                  <c:v>511400000</c:v>
                </c:pt>
                <c:pt idx="154">
                  <c:v>511400000</c:v>
                </c:pt>
                <c:pt idx="155">
                  <c:v>511400000</c:v>
                </c:pt>
                <c:pt idx="156">
                  <c:v>511400000</c:v>
                </c:pt>
                <c:pt idx="157">
                  <c:v>511400000</c:v>
                </c:pt>
                <c:pt idx="158">
                  <c:v>511400000</c:v>
                </c:pt>
                <c:pt idx="159">
                  <c:v>511400000</c:v>
                </c:pt>
                <c:pt idx="160">
                  <c:v>511400000</c:v>
                </c:pt>
                <c:pt idx="161">
                  <c:v>511400000</c:v>
                </c:pt>
                <c:pt idx="162">
                  <c:v>511400000</c:v>
                </c:pt>
                <c:pt idx="163">
                  <c:v>511400000</c:v>
                </c:pt>
                <c:pt idx="164">
                  <c:v>511400000</c:v>
                </c:pt>
                <c:pt idx="165">
                  <c:v>511400000</c:v>
                </c:pt>
                <c:pt idx="166">
                  <c:v>511400000</c:v>
                </c:pt>
                <c:pt idx="167">
                  <c:v>511400000</c:v>
                </c:pt>
                <c:pt idx="168">
                  <c:v>511400000</c:v>
                </c:pt>
                <c:pt idx="169">
                  <c:v>511400000</c:v>
                </c:pt>
                <c:pt idx="170">
                  <c:v>511400000</c:v>
                </c:pt>
                <c:pt idx="171">
                  <c:v>511400000</c:v>
                </c:pt>
                <c:pt idx="172">
                  <c:v>511400000</c:v>
                </c:pt>
                <c:pt idx="173">
                  <c:v>511400000</c:v>
                </c:pt>
                <c:pt idx="174">
                  <c:v>511400000</c:v>
                </c:pt>
                <c:pt idx="175">
                  <c:v>511400000</c:v>
                </c:pt>
                <c:pt idx="176">
                  <c:v>511400000</c:v>
                </c:pt>
                <c:pt idx="177">
                  <c:v>511400000</c:v>
                </c:pt>
                <c:pt idx="178">
                  <c:v>511400000</c:v>
                </c:pt>
                <c:pt idx="179">
                  <c:v>511400000</c:v>
                </c:pt>
                <c:pt idx="180">
                  <c:v>511400000</c:v>
                </c:pt>
                <c:pt idx="181">
                  <c:v>521800000</c:v>
                </c:pt>
                <c:pt idx="182">
                  <c:v>532200000</c:v>
                </c:pt>
                <c:pt idx="183">
                  <c:v>542600000</c:v>
                </c:pt>
                <c:pt idx="184">
                  <c:v>553000000</c:v>
                </c:pt>
                <c:pt idx="185">
                  <c:v>563400000</c:v>
                </c:pt>
                <c:pt idx="186">
                  <c:v>573800000</c:v>
                </c:pt>
                <c:pt idx="187">
                  <c:v>584200000</c:v>
                </c:pt>
                <c:pt idx="188">
                  <c:v>594600000</c:v>
                </c:pt>
                <c:pt idx="189">
                  <c:v>605000000</c:v>
                </c:pt>
                <c:pt idx="190">
                  <c:v>615400000</c:v>
                </c:pt>
                <c:pt idx="191">
                  <c:v>625800000</c:v>
                </c:pt>
                <c:pt idx="192">
                  <c:v>636200000</c:v>
                </c:pt>
                <c:pt idx="193">
                  <c:v>646600000</c:v>
                </c:pt>
                <c:pt idx="194">
                  <c:v>657000000</c:v>
                </c:pt>
                <c:pt idx="195">
                  <c:v>667400000</c:v>
                </c:pt>
                <c:pt idx="196">
                  <c:v>677800000</c:v>
                </c:pt>
                <c:pt idx="197">
                  <c:v>688200000</c:v>
                </c:pt>
                <c:pt idx="198">
                  <c:v>698600000</c:v>
                </c:pt>
                <c:pt idx="199">
                  <c:v>709000000</c:v>
                </c:pt>
                <c:pt idx="200">
                  <c:v>719400000</c:v>
                </c:pt>
                <c:pt idx="201">
                  <c:v>729800000</c:v>
                </c:pt>
                <c:pt idx="202">
                  <c:v>740200000</c:v>
                </c:pt>
                <c:pt idx="203">
                  <c:v>750600000</c:v>
                </c:pt>
                <c:pt idx="204">
                  <c:v>761000000</c:v>
                </c:pt>
                <c:pt idx="205">
                  <c:v>771400000</c:v>
                </c:pt>
                <c:pt idx="206">
                  <c:v>781800000</c:v>
                </c:pt>
                <c:pt idx="207">
                  <c:v>792200000</c:v>
                </c:pt>
                <c:pt idx="208">
                  <c:v>802600000</c:v>
                </c:pt>
                <c:pt idx="209">
                  <c:v>813000000</c:v>
                </c:pt>
                <c:pt idx="210">
                  <c:v>823400000</c:v>
                </c:pt>
                <c:pt idx="211">
                  <c:v>833800000</c:v>
                </c:pt>
                <c:pt idx="212">
                  <c:v>844200000</c:v>
                </c:pt>
                <c:pt idx="213">
                  <c:v>854600000</c:v>
                </c:pt>
                <c:pt idx="214">
                  <c:v>865000000</c:v>
                </c:pt>
                <c:pt idx="215">
                  <c:v>875400000</c:v>
                </c:pt>
                <c:pt idx="216">
                  <c:v>885800000</c:v>
                </c:pt>
                <c:pt idx="217">
                  <c:v>896200000</c:v>
                </c:pt>
                <c:pt idx="218">
                  <c:v>906600000</c:v>
                </c:pt>
                <c:pt idx="219">
                  <c:v>917000000</c:v>
                </c:pt>
                <c:pt idx="220">
                  <c:v>927400000</c:v>
                </c:pt>
                <c:pt idx="221">
                  <c:v>937800000</c:v>
                </c:pt>
                <c:pt idx="222">
                  <c:v>948200000</c:v>
                </c:pt>
                <c:pt idx="223">
                  <c:v>958600000</c:v>
                </c:pt>
                <c:pt idx="224">
                  <c:v>969000000</c:v>
                </c:pt>
                <c:pt idx="225">
                  <c:v>979400000</c:v>
                </c:pt>
                <c:pt idx="226">
                  <c:v>989800000</c:v>
                </c:pt>
                <c:pt idx="227">
                  <c:v>1000200000</c:v>
                </c:pt>
                <c:pt idx="228">
                  <c:v>998000000</c:v>
                </c:pt>
                <c:pt idx="229">
                  <c:v>987600000</c:v>
                </c:pt>
                <c:pt idx="230">
                  <c:v>977200000</c:v>
                </c:pt>
                <c:pt idx="231">
                  <c:v>966800000</c:v>
                </c:pt>
                <c:pt idx="232">
                  <c:v>956400000</c:v>
                </c:pt>
                <c:pt idx="233">
                  <c:v>946000000</c:v>
                </c:pt>
                <c:pt idx="234">
                  <c:v>935600000</c:v>
                </c:pt>
                <c:pt idx="235">
                  <c:v>925200000</c:v>
                </c:pt>
                <c:pt idx="236">
                  <c:v>914800000</c:v>
                </c:pt>
                <c:pt idx="237">
                  <c:v>904400000</c:v>
                </c:pt>
                <c:pt idx="238">
                  <c:v>894000000</c:v>
                </c:pt>
                <c:pt idx="239">
                  <c:v>883600000</c:v>
                </c:pt>
                <c:pt idx="240">
                  <c:v>873200000</c:v>
                </c:pt>
                <c:pt idx="241">
                  <c:v>862800000</c:v>
                </c:pt>
                <c:pt idx="242">
                  <c:v>852400000</c:v>
                </c:pt>
                <c:pt idx="243">
                  <c:v>842000000</c:v>
                </c:pt>
                <c:pt idx="244">
                  <c:v>831600000</c:v>
                </c:pt>
                <c:pt idx="245">
                  <c:v>821200000</c:v>
                </c:pt>
                <c:pt idx="246">
                  <c:v>810800000</c:v>
                </c:pt>
                <c:pt idx="247">
                  <c:v>800400000</c:v>
                </c:pt>
                <c:pt idx="248">
                  <c:v>790000000</c:v>
                </c:pt>
                <c:pt idx="249">
                  <c:v>779600000</c:v>
                </c:pt>
                <c:pt idx="250">
                  <c:v>769200000</c:v>
                </c:pt>
                <c:pt idx="251">
                  <c:v>758800000</c:v>
                </c:pt>
                <c:pt idx="252">
                  <c:v>748400000</c:v>
                </c:pt>
                <c:pt idx="253">
                  <c:v>738000000</c:v>
                </c:pt>
                <c:pt idx="254">
                  <c:v>727600000</c:v>
                </c:pt>
                <c:pt idx="255">
                  <c:v>717200000</c:v>
                </c:pt>
                <c:pt idx="256">
                  <c:v>706800000</c:v>
                </c:pt>
                <c:pt idx="257">
                  <c:v>696400000</c:v>
                </c:pt>
                <c:pt idx="258">
                  <c:v>686000000</c:v>
                </c:pt>
                <c:pt idx="259">
                  <c:v>675600000</c:v>
                </c:pt>
                <c:pt idx="260">
                  <c:v>665200000</c:v>
                </c:pt>
                <c:pt idx="261">
                  <c:v>654800000</c:v>
                </c:pt>
                <c:pt idx="262">
                  <c:v>644400000</c:v>
                </c:pt>
                <c:pt idx="263">
                  <c:v>634000000</c:v>
                </c:pt>
                <c:pt idx="264">
                  <c:v>623600000</c:v>
                </c:pt>
                <c:pt idx="265">
                  <c:v>613200000</c:v>
                </c:pt>
                <c:pt idx="266">
                  <c:v>602800000</c:v>
                </c:pt>
                <c:pt idx="267">
                  <c:v>592400000</c:v>
                </c:pt>
                <c:pt idx="268">
                  <c:v>582000000</c:v>
                </c:pt>
                <c:pt idx="269">
                  <c:v>571600000</c:v>
                </c:pt>
                <c:pt idx="270">
                  <c:v>561200000</c:v>
                </c:pt>
                <c:pt idx="271">
                  <c:v>550800000</c:v>
                </c:pt>
                <c:pt idx="272">
                  <c:v>540400000</c:v>
                </c:pt>
                <c:pt idx="273">
                  <c:v>550800000</c:v>
                </c:pt>
                <c:pt idx="274">
                  <c:v>570800000</c:v>
                </c:pt>
                <c:pt idx="275">
                  <c:v>590800000</c:v>
                </c:pt>
                <c:pt idx="276">
                  <c:v>610800000</c:v>
                </c:pt>
                <c:pt idx="277">
                  <c:v>630800000</c:v>
                </c:pt>
                <c:pt idx="278">
                  <c:v>650800000</c:v>
                </c:pt>
                <c:pt idx="279">
                  <c:v>670800000</c:v>
                </c:pt>
                <c:pt idx="280">
                  <c:v>690800000</c:v>
                </c:pt>
                <c:pt idx="281">
                  <c:v>710800000</c:v>
                </c:pt>
                <c:pt idx="282">
                  <c:v>730800000</c:v>
                </c:pt>
                <c:pt idx="283">
                  <c:v>750800000</c:v>
                </c:pt>
                <c:pt idx="284">
                  <c:v>770800000</c:v>
                </c:pt>
                <c:pt idx="285">
                  <c:v>790800000</c:v>
                </c:pt>
                <c:pt idx="286">
                  <c:v>810800000</c:v>
                </c:pt>
                <c:pt idx="287">
                  <c:v>830800000</c:v>
                </c:pt>
                <c:pt idx="288">
                  <c:v>850800000</c:v>
                </c:pt>
                <c:pt idx="289">
                  <c:v>870800000</c:v>
                </c:pt>
                <c:pt idx="290">
                  <c:v>890800000</c:v>
                </c:pt>
                <c:pt idx="291">
                  <c:v>910800000</c:v>
                </c:pt>
                <c:pt idx="292">
                  <c:v>930800000</c:v>
                </c:pt>
                <c:pt idx="293">
                  <c:v>950800000</c:v>
                </c:pt>
                <c:pt idx="294">
                  <c:v>970800000</c:v>
                </c:pt>
                <c:pt idx="295">
                  <c:v>990800000</c:v>
                </c:pt>
                <c:pt idx="296">
                  <c:v>1010800000</c:v>
                </c:pt>
                <c:pt idx="297">
                  <c:v>1030800000</c:v>
                </c:pt>
                <c:pt idx="298">
                  <c:v>1050800000</c:v>
                </c:pt>
                <c:pt idx="299">
                  <c:v>1070800000</c:v>
                </c:pt>
                <c:pt idx="300">
                  <c:v>1090800000</c:v>
                </c:pt>
                <c:pt idx="301">
                  <c:v>1110800000</c:v>
                </c:pt>
                <c:pt idx="302">
                  <c:v>1130800000</c:v>
                </c:pt>
                <c:pt idx="303">
                  <c:v>1150800000</c:v>
                </c:pt>
                <c:pt idx="304">
                  <c:v>1170800000</c:v>
                </c:pt>
                <c:pt idx="305">
                  <c:v>1190800000</c:v>
                </c:pt>
                <c:pt idx="306">
                  <c:v>1210800000</c:v>
                </c:pt>
                <c:pt idx="307">
                  <c:v>1230800000</c:v>
                </c:pt>
                <c:pt idx="308">
                  <c:v>1250800000</c:v>
                </c:pt>
                <c:pt idx="309">
                  <c:v>1270800000</c:v>
                </c:pt>
                <c:pt idx="310">
                  <c:v>1290800000</c:v>
                </c:pt>
                <c:pt idx="311">
                  <c:v>1310800000</c:v>
                </c:pt>
                <c:pt idx="312">
                  <c:v>1330800000</c:v>
                </c:pt>
                <c:pt idx="313">
                  <c:v>1350800000</c:v>
                </c:pt>
                <c:pt idx="314">
                  <c:v>1370800000</c:v>
                </c:pt>
                <c:pt idx="315">
                  <c:v>1390800000</c:v>
                </c:pt>
                <c:pt idx="316">
                  <c:v>1410800000</c:v>
                </c:pt>
                <c:pt idx="317">
                  <c:v>1430800000</c:v>
                </c:pt>
                <c:pt idx="318">
                  <c:v>1450800000</c:v>
                </c:pt>
                <c:pt idx="319">
                  <c:v>1470800000</c:v>
                </c:pt>
                <c:pt idx="320">
                  <c:v>1490800000</c:v>
                </c:pt>
                <c:pt idx="321">
                  <c:v>1508000000</c:v>
                </c:pt>
                <c:pt idx="322">
                  <c:v>1504000000</c:v>
                </c:pt>
                <c:pt idx="323">
                  <c:v>1482000000</c:v>
                </c:pt>
                <c:pt idx="324">
                  <c:v>1460000000</c:v>
                </c:pt>
                <c:pt idx="325">
                  <c:v>1438000000</c:v>
                </c:pt>
                <c:pt idx="326">
                  <c:v>1416000000</c:v>
                </c:pt>
                <c:pt idx="327">
                  <c:v>1394000000</c:v>
                </c:pt>
                <c:pt idx="328">
                  <c:v>1372000000</c:v>
                </c:pt>
                <c:pt idx="329">
                  <c:v>1350000000</c:v>
                </c:pt>
                <c:pt idx="330">
                  <c:v>1328000000</c:v>
                </c:pt>
                <c:pt idx="331">
                  <c:v>1306000000</c:v>
                </c:pt>
                <c:pt idx="332">
                  <c:v>1284000000</c:v>
                </c:pt>
                <c:pt idx="333">
                  <c:v>1262000000</c:v>
                </c:pt>
                <c:pt idx="334">
                  <c:v>1240000000</c:v>
                </c:pt>
                <c:pt idx="335">
                  <c:v>1218000000</c:v>
                </c:pt>
                <c:pt idx="336">
                  <c:v>1196000000</c:v>
                </c:pt>
                <c:pt idx="337">
                  <c:v>1174000000</c:v>
                </c:pt>
                <c:pt idx="338">
                  <c:v>1152000000</c:v>
                </c:pt>
                <c:pt idx="339">
                  <c:v>1130000000</c:v>
                </c:pt>
                <c:pt idx="340">
                  <c:v>1108000000</c:v>
                </c:pt>
                <c:pt idx="341">
                  <c:v>1086000000</c:v>
                </c:pt>
                <c:pt idx="342">
                  <c:v>1064000000</c:v>
                </c:pt>
                <c:pt idx="343">
                  <c:v>1042000000</c:v>
                </c:pt>
                <c:pt idx="344">
                  <c:v>1020000000</c:v>
                </c:pt>
                <c:pt idx="345">
                  <c:v>998000000</c:v>
                </c:pt>
                <c:pt idx="346">
                  <c:v>976000000</c:v>
                </c:pt>
                <c:pt idx="347">
                  <c:v>954000000</c:v>
                </c:pt>
                <c:pt idx="348">
                  <c:v>932000000</c:v>
                </c:pt>
                <c:pt idx="349">
                  <c:v>910000000</c:v>
                </c:pt>
                <c:pt idx="350">
                  <c:v>888000000</c:v>
                </c:pt>
                <c:pt idx="351">
                  <c:v>866000000</c:v>
                </c:pt>
                <c:pt idx="352">
                  <c:v>844000000</c:v>
                </c:pt>
                <c:pt idx="353">
                  <c:v>822000000</c:v>
                </c:pt>
                <c:pt idx="354">
                  <c:v>800000000</c:v>
                </c:pt>
                <c:pt idx="355">
                  <c:v>778000000</c:v>
                </c:pt>
                <c:pt idx="356">
                  <c:v>756000000</c:v>
                </c:pt>
                <c:pt idx="357">
                  <c:v>734000000</c:v>
                </c:pt>
                <c:pt idx="358">
                  <c:v>712000000</c:v>
                </c:pt>
                <c:pt idx="359">
                  <c:v>690000000</c:v>
                </c:pt>
                <c:pt idx="360">
                  <c:v>668000000</c:v>
                </c:pt>
                <c:pt idx="361">
                  <c:v>646000000</c:v>
                </c:pt>
                <c:pt idx="362">
                  <c:v>624000000</c:v>
                </c:pt>
                <c:pt idx="363">
                  <c:v>602000000</c:v>
                </c:pt>
                <c:pt idx="364">
                  <c:v>580000000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CE-4B18-B075-81BD9332FCF2}"/>
            </c:ext>
          </c:extLst>
        </c:ser>
        <c:ser>
          <c:idx val="2"/>
          <c:order val="2"/>
          <c:tx>
            <c:v>best-effort</c:v>
          </c:tx>
          <c:spPr>
            <a:solidFill>
              <a:schemeClr val="accent6">
                <a:lumMod val="40000"/>
                <a:lumOff val="60000"/>
              </a:schemeClr>
            </a:solidFill>
            <a:ln w="25400">
              <a:noFill/>
            </a:ln>
            <a:effectLst/>
          </c:spPr>
          <c:val>
            <c:numRef>
              <c:f>График!$C$2:$C$366</c:f>
              <c:numCache>
                <c:formatCode>#,##0</c:formatCode>
                <c:ptCount val="365"/>
                <c:pt idx="0">
                  <c:v>9600000</c:v>
                </c:pt>
                <c:pt idx="1">
                  <c:v>19200000</c:v>
                </c:pt>
                <c:pt idx="2">
                  <c:v>28800000</c:v>
                </c:pt>
                <c:pt idx="3">
                  <c:v>38400000</c:v>
                </c:pt>
                <c:pt idx="4">
                  <c:v>48000000</c:v>
                </c:pt>
                <c:pt idx="5">
                  <c:v>57600000</c:v>
                </c:pt>
                <c:pt idx="6">
                  <c:v>67200000</c:v>
                </c:pt>
                <c:pt idx="7">
                  <c:v>76800000</c:v>
                </c:pt>
                <c:pt idx="8">
                  <c:v>86400000</c:v>
                </c:pt>
                <c:pt idx="9">
                  <c:v>96000000</c:v>
                </c:pt>
                <c:pt idx="10">
                  <c:v>105600000</c:v>
                </c:pt>
                <c:pt idx="11">
                  <c:v>115200000</c:v>
                </c:pt>
                <c:pt idx="12">
                  <c:v>124800000</c:v>
                </c:pt>
                <c:pt idx="13">
                  <c:v>134400000</c:v>
                </c:pt>
                <c:pt idx="14">
                  <c:v>144000000</c:v>
                </c:pt>
                <c:pt idx="15">
                  <c:v>153600000</c:v>
                </c:pt>
                <c:pt idx="16">
                  <c:v>163200000</c:v>
                </c:pt>
                <c:pt idx="17">
                  <c:v>172800000</c:v>
                </c:pt>
                <c:pt idx="18">
                  <c:v>182400000</c:v>
                </c:pt>
                <c:pt idx="19">
                  <c:v>192000000</c:v>
                </c:pt>
                <c:pt idx="20">
                  <c:v>201600000</c:v>
                </c:pt>
                <c:pt idx="21">
                  <c:v>211200000</c:v>
                </c:pt>
                <c:pt idx="22">
                  <c:v>220800000</c:v>
                </c:pt>
                <c:pt idx="23">
                  <c:v>230400000</c:v>
                </c:pt>
                <c:pt idx="24">
                  <c:v>240000000</c:v>
                </c:pt>
                <c:pt idx="25">
                  <c:v>249600000</c:v>
                </c:pt>
                <c:pt idx="26">
                  <c:v>259200000</c:v>
                </c:pt>
                <c:pt idx="27">
                  <c:v>268800000</c:v>
                </c:pt>
                <c:pt idx="28">
                  <c:v>278400000</c:v>
                </c:pt>
                <c:pt idx="29">
                  <c:v>288000000</c:v>
                </c:pt>
                <c:pt idx="30">
                  <c:v>297600000</c:v>
                </c:pt>
                <c:pt idx="31">
                  <c:v>307200000</c:v>
                </c:pt>
                <c:pt idx="32">
                  <c:v>316800000</c:v>
                </c:pt>
                <c:pt idx="33">
                  <c:v>326400000</c:v>
                </c:pt>
                <c:pt idx="34">
                  <c:v>336000000</c:v>
                </c:pt>
                <c:pt idx="35">
                  <c:v>345600000</c:v>
                </c:pt>
                <c:pt idx="36">
                  <c:v>355200000</c:v>
                </c:pt>
                <c:pt idx="37">
                  <c:v>364800000</c:v>
                </c:pt>
                <c:pt idx="38">
                  <c:v>374400000</c:v>
                </c:pt>
                <c:pt idx="39">
                  <c:v>384000000</c:v>
                </c:pt>
                <c:pt idx="40">
                  <c:v>393600000</c:v>
                </c:pt>
                <c:pt idx="41">
                  <c:v>403200000</c:v>
                </c:pt>
                <c:pt idx="42">
                  <c:v>412800000</c:v>
                </c:pt>
                <c:pt idx="43">
                  <c:v>422400000</c:v>
                </c:pt>
                <c:pt idx="44">
                  <c:v>432000000</c:v>
                </c:pt>
                <c:pt idx="45">
                  <c:v>441600000</c:v>
                </c:pt>
                <c:pt idx="46">
                  <c:v>451200000</c:v>
                </c:pt>
                <c:pt idx="47">
                  <c:v>460800000</c:v>
                </c:pt>
                <c:pt idx="48">
                  <c:v>470400000</c:v>
                </c:pt>
                <c:pt idx="49">
                  <c:v>480000000</c:v>
                </c:pt>
                <c:pt idx="50">
                  <c:v>489600000</c:v>
                </c:pt>
                <c:pt idx="51">
                  <c:v>499200000</c:v>
                </c:pt>
                <c:pt idx="52">
                  <c:v>508800000</c:v>
                </c:pt>
                <c:pt idx="53">
                  <c:v>518400000</c:v>
                </c:pt>
                <c:pt idx="54">
                  <c:v>528000000</c:v>
                </c:pt>
                <c:pt idx="55">
                  <c:v>537600000</c:v>
                </c:pt>
                <c:pt idx="56">
                  <c:v>547200000</c:v>
                </c:pt>
                <c:pt idx="57">
                  <c:v>556800000</c:v>
                </c:pt>
                <c:pt idx="58">
                  <c:v>566400000</c:v>
                </c:pt>
                <c:pt idx="59">
                  <c:v>576000000</c:v>
                </c:pt>
                <c:pt idx="60">
                  <c:v>585600000</c:v>
                </c:pt>
                <c:pt idx="61">
                  <c:v>595200000</c:v>
                </c:pt>
                <c:pt idx="62">
                  <c:v>604800000</c:v>
                </c:pt>
                <c:pt idx="63">
                  <c:v>614400000</c:v>
                </c:pt>
                <c:pt idx="64">
                  <c:v>624000000</c:v>
                </c:pt>
                <c:pt idx="65">
                  <c:v>633600000</c:v>
                </c:pt>
                <c:pt idx="66">
                  <c:v>643200000</c:v>
                </c:pt>
                <c:pt idx="67">
                  <c:v>652800000</c:v>
                </c:pt>
                <c:pt idx="68">
                  <c:v>662400000</c:v>
                </c:pt>
                <c:pt idx="69">
                  <c:v>672000000</c:v>
                </c:pt>
                <c:pt idx="70">
                  <c:v>681600000</c:v>
                </c:pt>
                <c:pt idx="71">
                  <c:v>691200000</c:v>
                </c:pt>
                <c:pt idx="72">
                  <c:v>700800000</c:v>
                </c:pt>
                <c:pt idx="73">
                  <c:v>710400000</c:v>
                </c:pt>
                <c:pt idx="74">
                  <c:v>720000000</c:v>
                </c:pt>
                <c:pt idx="75">
                  <c:v>729600000</c:v>
                </c:pt>
                <c:pt idx="76">
                  <c:v>739200000</c:v>
                </c:pt>
                <c:pt idx="77">
                  <c:v>748800000</c:v>
                </c:pt>
                <c:pt idx="78">
                  <c:v>758400000</c:v>
                </c:pt>
                <c:pt idx="79">
                  <c:v>768000000</c:v>
                </c:pt>
                <c:pt idx="80">
                  <c:v>777600000</c:v>
                </c:pt>
                <c:pt idx="81">
                  <c:v>787200000</c:v>
                </c:pt>
                <c:pt idx="82">
                  <c:v>796800000</c:v>
                </c:pt>
                <c:pt idx="83">
                  <c:v>806400000</c:v>
                </c:pt>
                <c:pt idx="84">
                  <c:v>816000000</c:v>
                </c:pt>
                <c:pt idx="85">
                  <c:v>825600000</c:v>
                </c:pt>
                <c:pt idx="86">
                  <c:v>835200000</c:v>
                </c:pt>
                <c:pt idx="87">
                  <c:v>844800000</c:v>
                </c:pt>
                <c:pt idx="88">
                  <c:v>854400000</c:v>
                </c:pt>
                <c:pt idx="89">
                  <c:v>864000000</c:v>
                </c:pt>
                <c:pt idx="90">
                  <c:v>873600000</c:v>
                </c:pt>
                <c:pt idx="91">
                  <c:v>883200000</c:v>
                </c:pt>
                <c:pt idx="92">
                  <c:v>892800000</c:v>
                </c:pt>
                <c:pt idx="93">
                  <c:v>902400000</c:v>
                </c:pt>
                <c:pt idx="94">
                  <c:v>912000000</c:v>
                </c:pt>
                <c:pt idx="95">
                  <c:v>921600000</c:v>
                </c:pt>
                <c:pt idx="96">
                  <c:v>931200000</c:v>
                </c:pt>
                <c:pt idx="97">
                  <c:v>940800000</c:v>
                </c:pt>
                <c:pt idx="98">
                  <c:v>942400000</c:v>
                </c:pt>
                <c:pt idx="99">
                  <c:v>932000000</c:v>
                </c:pt>
                <c:pt idx="100">
                  <c:v>921600000</c:v>
                </c:pt>
                <c:pt idx="101">
                  <c:v>911200000</c:v>
                </c:pt>
                <c:pt idx="102">
                  <c:v>900800000</c:v>
                </c:pt>
                <c:pt idx="103">
                  <c:v>890400000</c:v>
                </c:pt>
                <c:pt idx="104">
                  <c:v>880000000</c:v>
                </c:pt>
                <c:pt idx="105">
                  <c:v>869600000</c:v>
                </c:pt>
                <c:pt idx="106">
                  <c:v>859200000</c:v>
                </c:pt>
                <c:pt idx="107">
                  <c:v>848800000</c:v>
                </c:pt>
                <c:pt idx="108">
                  <c:v>838400000</c:v>
                </c:pt>
                <c:pt idx="109">
                  <c:v>828000000</c:v>
                </c:pt>
                <c:pt idx="110">
                  <c:v>817600000</c:v>
                </c:pt>
                <c:pt idx="111">
                  <c:v>807200000</c:v>
                </c:pt>
                <c:pt idx="112">
                  <c:v>796800000</c:v>
                </c:pt>
                <c:pt idx="113">
                  <c:v>786400000</c:v>
                </c:pt>
                <c:pt idx="114">
                  <c:v>776000000</c:v>
                </c:pt>
                <c:pt idx="115">
                  <c:v>765600000</c:v>
                </c:pt>
                <c:pt idx="116">
                  <c:v>755200000</c:v>
                </c:pt>
                <c:pt idx="117">
                  <c:v>744800000</c:v>
                </c:pt>
                <c:pt idx="118">
                  <c:v>734400000</c:v>
                </c:pt>
                <c:pt idx="119">
                  <c:v>724000000</c:v>
                </c:pt>
                <c:pt idx="120">
                  <c:v>713600000</c:v>
                </c:pt>
                <c:pt idx="121">
                  <c:v>703200000</c:v>
                </c:pt>
                <c:pt idx="122">
                  <c:v>692800000</c:v>
                </c:pt>
                <c:pt idx="123">
                  <c:v>682400000</c:v>
                </c:pt>
                <c:pt idx="124">
                  <c:v>672000000</c:v>
                </c:pt>
                <c:pt idx="125">
                  <c:v>661600000</c:v>
                </c:pt>
                <c:pt idx="126">
                  <c:v>651200000</c:v>
                </c:pt>
                <c:pt idx="127">
                  <c:v>640800000</c:v>
                </c:pt>
                <c:pt idx="128">
                  <c:v>630400000</c:v>
                </c:pt>
                <c:pt idx="129">
                  <c:v>620000000</c:v>
                </c:pt>
                <c:pt idx="130">
                  <c:v>609600000</c:v>
                </c:pt>
                <c:pt idx="131">
                  <c:v>599200000</c:v>
                </c:pt>
                <c:pt idx="132">
                  <c:v>588800000</c:v>
                </c:pt>
                <c:pt idx="133">
                  <c:v>578400000</c:v>
                </c:pt>
                <c:pt idx="134">
                  <c:v>568000000</c:v>
                </c:pt>
                <c:pt idx="135">
                  <c:v>557600000</c:v>
                </c:pt>
                <c:pt idx="136">
                  <c:v>547200000</c:v>
                </c:pt>
                <c:pt idx="137">
                  <c:v>536800000</c:v>
                </c:pt>
                <c:pt idx="138">
                  <c:v>532600000</c:v>
                </c:pt>
                <c:pt idx="139">
                  <c:v>532600000</c:v>
                </c:pt>
                <c:pt idx="140">
                  <c:v>532600000</c:v>
                </c:pt>
                <c:pt idx="141">
                  <c:v>532600000</c:v>
                </c:pt>
                <c:pt idx="142">
                  <c:v>532600000</c:v>
                </c:pt>
                <c:pt idx="143">
                  <c:v>532600000</c:v>
                </c:pt>
                <c:pt idx="144">
                  <c:v>532600000</c:v>
                </c:pt>
                <c:pt idx="145">
                  <c:v>532600000</c:v>
                </c:pt>
                <c:pt idx="146">
                  <c:v>532600000</c:v>
                </c:pt>
                <c:pt idx="147">
                  <c:v>532600000</c:v>
                </c:pt>
                <c:pt idx="148">
                  <c:v>532600000</c:v>
                </c:pt>
                <c:pt idx="149">
                  <c:v>532600000</c:v>
                </c:pt>
                <c:pt idx="150">
                  <c:v>532600000</c:v>
                </c:pt>
                <c:pt idx="151">
                  <c:v>532600000</c:v>
                </c:pt>
                <c:pt idx="152">
                  <c:v>532600000</c:v>
                </c:pt>
                <c:pt idx="153">
                  <c:v>532600000</c:v>
                </c:pt>
                <c:pt idx="154">
                  <c:v>532600000</c:v>
                </c:pt>
                <c:pt idx="155">
                  <c:v>532600000</c:v>
                </c:pt>
                <c:pt idx="156">
                  <c:v>532600000</c:v>
                </c:pt>
                <c:pt idx="157">
                  <c:v>532600000</c:v>
                </c:pt>
                <c:pt idx="158">
                  <c:v>532600000</c:v>
                </c:pt>
                <c:pt idx="159">
                  <c:v>532600000</c:v>
                </c:pt>
                <c:pt idx="160">
                  <c:v>532600000</c:v>
                </c:pt>
                <c:pt idx="161">
                  <c:v>532600000</c:v>
                </c:pt>
                <c:pt idx="162">
                  <c:v>532600000</c:v>
                </c:pt>
                <c:pt idx="163">
                  <c:v>532600000</c:v>
                </c:pt>
                <c:pt idx="164">
                  <c:v>532600000</c:v>
                </c:pt>
                <c:pt idx="165">
                  <c:v>532600000</c:v>
                </c:pt>
                <c:pt idx="166">
                  <c:v>532600000</c:v>
                </c:pt>
                <c:pt idx="167">
                  <c:v>532600000</c:v>
                </c:pt>
                <c:pt idx="168">
                  <c:v>532600000</c:v>
                </c:pt>
                <c:pt idx="169">
                  <c:v>532600000</c:v>
                </c:pt>
                <c:pt idx="170">
                  <c:v>532600000</c:v>
                </c:pt>
                <c:pt idx="171">
                  <c:v>532600000</c:v>
                </c:pt>
                <c:pt idx="172">
                  <c:v>532600000</c:v>
                </c:pt>
                <c:pt idx="173">
                  <c:v>532600000</c:v>
                </c:pt>
                <c:pt idx="174">
                  <c:v>532600000</c:v>
                </c:pt>
                <c:pt idx="175">
                  <c:v>532600000</c:v>
                </c:pt>
                <c:pt idx="176">
                  <c:v>532600000</c:v>
                </c:pt>
                <c:pt idx="177">
                  <c:v>532600000</c:v>
                </c:pt>
                <c:pt idx="178">
                  <c:v>532600000</c:v>
                </c:pt>
                <c:pt idx="179">
                  <c:v>532600000</c:v>
                </c:pt>
                <c:pt idx="180">
                  <c:v>532600000</c:v>
                </c:pt>
                <c:pt idx="181">
                  <c:v>522200000</c:v>
                </c:pt>
                <c:pt idx="182">
                  <c:v>511800000</c:v>
                </c:pt>
                <c:pt idx="183">
                  <c:v>501400000</c:v>
                </c:pt>
                <c:pt idx="184">
                  <c:v>491000000</c:v>
                </c:pt>
                <c:pt idx="185">
                  <c:v>480600000</c:v>
                </c:pt>
                <c:pt idx="186">
                  <c:v>470200000</c:v>
                </c:pt>
                <c:pt idx="187">
                  <c:v>459800000</c:v>
                </c:pt>
                <c:pt idx="188">
                  <c:v>449400000</c:v>
                </c:pt>
                <c:pt idx="189">
                  <c:v>439000000</c:v>
                </c:pt>
                <c:pt idx="190">
                  <c:v>428600000</c:v>
                </c:pt>
                <c:pt idx="191">
                  <c:v>418200000</c:v>
                </c:pt>
                <c:pt idx="192">
                  <c:v>407800000</c:v>
                </c:pt>
                <c:pt idx="193">
                  <c:v>397400000</c:v>
                </c:pt>
                <c:pt idx="194">
                  <c:v>387000000</c:v>
                </c:pt>
                <c:pt idx="195">
                  <c:v>376600000</c:v>
                </c:pt>
                <c:pt idx="196">
                  <c:v>366200000</c:v>
                </c:pt>
                <c:pt idx="197">
                  <c:v>355800000</c:v>
                </c:pt>
                <c:pt idx="198">
                  <c:v>345400000</c:v>
                </c:pt>
                <c:pt idx="199">
                  <c:v>335000000</c:v>
                </c:pt>
                <c:pt idx="200">
                  <c:v>324600000</c:v>
                </c:pt>
                <c:pt idx="201">
                  <c:v>314200000</c:v>
                </c:pt>
                <c:pt idx="202">
                  <c:v>303800000</c:v>
                </c:pt>
                <c:pt idx="203">
                  <c:v>293400000</c:v>
                </c:pt>
                <c:pt idx="204">
                  <c:v>283000000</c:v>
                </c:pt>
                <c:pt idx="205">
                  <c:v>272600000</c:v>
                </c:pt>
                <c:pt idx="206">
                  <c:v>262200000</c:v>
                </c:pt>
                <c:pt idx="207">
                  <c:v>251800000</c:v>
                </c:pt>
                <c:pt idx="208">
                  <c:v>241400000</c:v>
                </c:pt>
                <c:pt idx="209">
                  <c:v>231000000</c:v>
                </c:pt>
                <c:pt idx="210">
                  <c:v>220600000</c:v>
                </c:pt>
                <c:pt idx="211">
                  <c:v>210200000</c:v>
                </c:pt>
                <c:pt idx="212">
                  <c:v>199800000</c:v>
                </c:pt>
                <c:pt idx="213">
                  <c:v>189400000</c:v>
                </c:pt>
                <c:pt idx="214">
                  <c:v>179000000</c:v>
                </c:pt>
                <c:pt idx="215">
                  <c:v>168600000</c:v>
                </c:pt>
                <c:pt idx="216">
                  <c:v>158200000</c:v>
                </c:pt>
                <c:pt idx="217">
                  <c:v>147800000</c:v>
                </c:pt>
                <c:pt idx="218">
                  <c:v>137400000</c:v>
                </c:pt>
                <c:pt idx="219">
                  <c:v>127000000</c:v>
                </c:pt>
                <c:pt idx="220">
                  <c:v>116600000</c:v>
                </c:pt>
                <c:pt idx="221">
                  <c:v>106200000</c:v>
                </c:pt>
                <c:pt idx="222">
                  <c:v>95800000</c:v>
                </c:pt>
                <c:pt idx="223">
                  <c:v>85400000</c:v>
                </c:pt>
                <c:pt idx="224">
                  <c:v>75000000</c:v>
                </c:pt>
                <c:pt idx="225">
                  <c:v>64600000</c:v>
                </c:pt>
                <c:pt idx="226">
                  <c:v>54200000</c:v>
                </c:pt>
                <c:pt idx="227">
                  <c:v>43800000</c:v>
                </c:pt>
                <c:pt idx="228">
                  <c:v>39600000</c:v>
                </c:pt>
                <c:pt idx="229">
                  <c:v>39600000</c:v>
                </c:pt>
                <c:pt idx="230">
                  <c:v>39600000</c:v>
                </c:pt>
                <c:pt idx="231">
                  <c:v>39600000</c:v>
                </c:pt>
                <c:pt idx="232">
                  <c:v>39600000</c:v>
                </c:pt>
                <c:pt idx="233">
                  <c:v>39600000</c:v>
                </c:pt>
                <c:pt idx="234">
                  <c:v>39600000</c:v>
                </c:pt>
                <c:pt idx="235">
                  <c:v>39600000</c:v>
                </c:pt>
                <c:pt idx="236">
                  <c:v>39600000</c:v>
                </c:pt>
                <c:pt idx="237">
                  <c:v>39600000</c:v>
                </c:pt>
                <c:pt idx="238">
                  <c:v>39600000</c:v>
                </c:pt>
                <c:pt idx="239">
                  <c:v>39600000</c:v>
                </c:pt>
                <c:pt idx="240">
                  <c:v>39600000</c:v>
                </c:pt>
                <c:pt idx="241">
                  <c:v>39600000</c:v>
                </c:pt>
                <c:pt idx="242">
                  <c:v>39600000</c:v>
                </c:pt>
                <c:pt idx="243">
                  <c:v>39600000</c:v>
                </c:pt>
                <c:pt idx="244">
                  <c:v>39600000</c:v>
                </c:pt>
                <c:pt idx="245">
                  <c:v>39600000</c:v>
                </c:pt>
                <c:pt idx="246">
                  <c:v>39600000</c:v>
                </c:pt>
                <c:pt idx="247">
                  <c:v>39600000</c:v>
                </c:pt>
                <c:pt idx="248">
                  <c:v>39600000</c:v>
                </c:pt>
                <c:pt idx="249">
                  <c:v>39600000</c:v>
                </c:pt>
                <c:pt idx="250">
                  <c:v>39600000</c:v>
                </c:pt>
                <c:pt idx="251">
                  <c:v>39600000</c:v>
                </c:pt>
                <c:pt idx="252">
                  <c:v>39600000</c:v>
                </c:pt>
                <c:pt idx="253">
                  <c:v>39600000</c:v>
                </c:pt>
                <c:pt idx="254">
                  <c:v>39600000</c:v>
                </c:pt>
                <c:pt idx="255">
                  <c:v>39600000</c:v>
                </c:pt>
                <c:pt idx="256">
                  <c:v>39600000</c:v>
                </c:pt>
                <c:pt idx="257">
                  <c:v>39600000</c:v>
                </c:pt>
                <c:pt idx="258">
                  <c:v>39600000</c:v>
                </c:pt>
                <c:pt idx="259">
                  <c:v>39600000</c:v>
                </c:pt>
                <c:pt idx="260">
                  <c:v>39600000</c:v>
                </c:pt>
                <c:pt idx="261">
                  <c:v>39600000</c:v>
                </c:pt>
                <c:pt idx="262">
                  <c:v>39600000</c:v>
                </c:pt>
                <c:pt idx="263">
                  <c:v>39600000</c:v>
                </c:pt>
                <c:pt idx="264">
                  <c:v>39600000</c:v>
                </c:pt>
                <c:pt idx="265">
                  <c:v>39600000</c:v>
                </c:pt>
                <c:pt idx="266">
                  <c:v>39600000</c:v>
                </c:pt>
                <c:pt idx="267">
                  <c:v>39600000</c:v>
                </c:pt>
                <c:pt idx="268">
                  <c:v>39600000</c:v>
                </c:pt>
                <c:pt idx="269">
                  <c:v>39600000</c:v>
                </c:pt>
                <c:pt idx="270">
                  <c:v>39600000</c:v>
                </c:pt>
                <c:pt idx="271">
                  <c:v>39600000</c:v>
                </c:pt>
                <c:pt idx="272">
                  <c:v>39600000</c:v>
                </c:pt>
                <c:pt idx="273">
                  <c:v>49200000</c:v>
                </c:pt>
                <c:pt idx="274">
                  <c:v>49200000</c:v>
                </c:pt>
                <c:pt idx="275">
                  <c:v>49200000</c:v>
                </c:pt>
                <c:pt idx="276">
                  <c:v>49200000</c:v>
                </c:pt>
                <c:pt idx="277">
                  <c:v>49200000</c:v>
                </c:pt>
                <c:pt idx="278">
                  <c:v>49200000</c:v>
                </c:pt>
                <c:pt idx="279">
                  <c:v>49200000</c:v>
                </c:pt>
                <c:pt idx="280">
                  <c:v>49200000</c:v>
                </c:pt>
                <c:pt idx="281">
                  <c:v>49200000</c:v>
                </c:pt>
                <c:pt idx="282">
                  <c:v>49200000</c:v>
                </c:pt>
                <c:pt idx="283">
                  <c:v>49200000</c:v>
                </c:pt>
                <c:pt idx="284">
                  <c:v>49200000</c:v>
                </c:pt>
                <c:pt idx="285">
                  <c:v>49200000</c:v>
                </c:pt>
                <c:pt idx="286">
                  <c:v>49200000</c:v>
                </c:pt>
                <c:pt idx="287">
                  <c:v>49200000</c:v>
                </c:pt>
                <c:pt idx="288">
                  <c:v>49200000</c:v>
                </c:pt>
                <c:pt idx="289">
                  <c:v>49200000</c:v>
                </c:pt>
                <c:pt idx="290">
                  <c:v>49200000</c:v>
                </c:pt>
                <c:pt idx="291">
                  <c:v>49200000</c:v>
                </c:pt>
                <c:pt idx="292">
                  <c:v>49200000</c:v>
                </c:pt>
                <c:pt idx="293">
                  <c:v>49200000</c:v>
                </c:pt>
                <c:pt idx="294">
                  <c:v>49200000</c:v>
                </c:pt>
                <c:pt idx="295">
                  <c:v>49200000</c:v>
                </c:pt>
                <c:pt idx="296">
                  <c:v>49200000</c:v>
                </c:pt>
                <c:pt idx="297">
                  <c:v>49200000</c:v>
                </c:pt>
                <c:pt idx="298">
                  <c:v>49200000</c:v>
                </c:pt>
                <c:pt idx="299">
                  <c:v>49200000</c:v>
                </c:pt>
                <c:pt idx="300">
                  <c:v>49200000</c:v>
                </c:pt>
                <c:pt idx="301">
                  <c:v>49200000</c:v>
                </c:pt>
                <c:pt idx="302">
                  <c:v>49200000</c:v>
                </c:pt>
                <c:pt idx="303">
                  <c:v>49200000</c:v>
                </c:pt>
                <c:pt idx="304">
                  <c:v>49200000</c:v>
                </c:pt>
                <c:pt idx="305">
                  <c:v>49200000</c:v>
                </c:pt>
                <c:pt idx="306">
                  <c:v>49200000</c:v>
                </c:pt>
                <c:pt idx="307">
                  <c:v>49200000</c:v>
                </c:pt>
                <c:pt idx="308">
                  <c:v>49200000</c:v>
                </c:pt>
                <c:pt idx="309">
                  <c:v>49200000</c:v>
                </c:pt>
                <c:pt idx="310">
                  <c:v>49200000</c:v>
                </c:pt>
                <c:pt idx="311">
                  <c:v>49200000</c:v>
                </c:pt>
                <c:pt idx="312">
                  <c:v>49200000</c:v>
                </c:pt>
                <c:pt idx="313">
                  <c:v>49200000</c:v>
                </c:pt>
                <c:pt idx="314">
                  <c:v>49200000</c:v>
                </c:pt>
                <c:pt idx="315">
                  <c:v>49200000</c:v>
                </c:pt>
                <c:pt idx="316">
                  <c:v>49200000</c:v>
                </c:pt>
                <c:pt idx="317">
                  <c:v>49200000</c:v>
                </c:pt>
                <c:pt idx="318">
                  <c:v>49200000</c:v>
                </c:pt>
                <c:pt idx="319">
                  <c:v>37200000</c:v>
                </c:pt>
                <c:pt idx="320">
                  <c:v>17200000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CE-4B18-B075-81BD9332F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73504"/>
        <c:axId val="89379744"/>
      </c:areaChart>
      <c:lineChart>
        <c:grouping val="standard"/>
        <c:varyColors val="0"/>
        <c:ser>
          <c:idx val="3"/>
          <c:order val="3"/>
          <c:tx>
            <c:v>Отбор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График!$H$2:$H$3</c:f>
              <c:numCache>
                <c:formatCode>m/d/yyyy</c:formatCode>
                <c:ptCount val="2"/>
                <c:pt idx="0">
                  <c:v>45016</c:v>
                </c:pt>
                <c:pt idx="1">
                  <c:v>45016</c:v>
                </c:pt>
              </c:numCache>
            </c:numRef>
          </c:cat>
          <c:val>
            <c:numRef>
              <c:f>График!$E$2:$E$177</c:f>
              <c:numCache>
                <c:formatCode>General</c:formatCode>
                <c:ptCount val="176"/>
                <c:pt idx="0">
                  <c:v>7500000</c:v>
                </c:pt>
                <c:pt idx="1">
                  <c:v>15000000</c:v>
                </c:pt>
                <c:pt idx="2">
                  <c:v>22500000</c:v>
                </c:pt>
                <c:pt idx="3">
                  <c:v>30000000</c:v>
                </c:pt>
                <c:pt idx="4">
                  <c:v>37500000</c:v>
                </c:pt>
                <c:pt idx="5">
                  <c:v>45000000</c:v>
                </c:pt>
                <c:pt idx="6">
                  <c:v>52500000</c:v>
                </c:pt>
                <c:pt idx="7">
                  <c:v>60000000</c:v>
                </c:pt>
                <c:pt idx="8">
                  <c:v>67500000</c:v>
                </c:pt>
                <c:pt idx="9">
                  <c:v>75000000</c:v>
                </c:pt>
                <c:pt idx="10">
                  <c:v>82500000</c:v>
                </c:pt>
                <c:pt idx="11">
                  <c:v>90000000</c:v>
                </c:pt>
                <c:pt idx="12">
                  <c:v>97500000</c:v>
                </c:pt>
                <c:pt idx="13">
                  <c:v>105000000</c:v>
                </c:pt>
                <c:pt idx="14">
                  <c:v>112500000</c:v>
                </c:pt>
                <c:pt idx="15">
                  <c:v>120000000</c:v>
                </c:pt>
                <c:pt idx="16">
                  <c:v>127500000</c:v>
                </c:pt>
                <c:pt idx="17">
                  <c:v>135000000</c:v>
                </c:pt>
                <c:pt idx="18">
                  <c:v>142500000</c:v>
                </c:pt>
                <c:pt idx="19">
                  <c:v>150000000</c:v>
                </c:pt>
                <c:pt idx="20">
                  <c:v>157500000</c:v>
                </c:pt>
                <c:pt idx="21">
                  <c:v>165000000</c:v>
                </c:pt>
                <c:pt idx="22">
                  <c:v>172500000</c:v>
                </c:pt>
                <c:pt idx="23">
                  <c:v>180000000</c:v>
                </c:pt>
                <c:pt idx="24">
                  <c:v>187500000</c:v>
                </c:pt>
                <c:pt idx="25">
                  <c:v>195000000</c:v>
                </c:pt>
                <c:pt idx="26">
                  <c:v>202500000</c:v>
                </c:pt>
                <c:pt idx="27">
                  <c:v>210000000</c:v>
                </c:pt>
                <c:pt idx="28">
                  <c:v>217500000</c:v>
                </c:pt>
                <c:pt idx="29">
                  <c:v>225000000</c:v>
                </c:pt>
                <c:pt idx="30">
                  <c:v>232500000</c:v>
                </c:pt>
                <c:pt idx="31">
                  <c:v>240000000</c:v>
                </c:pt>
                <c:pt idx="32">
                  <c:v>247500000</c:v>
                </c:pt>
                <c:pt idx="33">
                  <c:v>255000000</c:v>
                </c:pt>
                <c:pt idx="34">
                  <c:v>262500000</c:v>
                </c:pt>
                <c:pt idx="35">
                  <c:v>270000000</c:v>
                </c:pt>
                <c:pt idx="36">
                  <c:v>277500000</c:v>
                </c:pt>
                <c:pt idx="37">
                  <c:v>285000000</c:v>
                </c:pt>
                <c:pt idx="38">
                  <c:v>292500000</c:v>
                </c:pt>
                <c:pt idx="39">
                  <c:v>300000000</c:v>
                </c:pt>
                <c:pt idx="40">
                  <c:v>307500000</c:v>
                </c:pt>
                <c:pt idx="41">
                  <c:v>315000000</c:v>
                </c:pt>
                <c:pt idx="42">
                  <c:v>322500000</c:v>
                </c:pt>
                <c:pt idx="43">
                  <c:v>330000000</c:v>
                </c:pt>
                <c:pt idx="44">
                  <c:v>337500000</c:v>
                </c:pt>
                <c:pt idx="45">
                  <c:v>345000000</c:v>
                </c:pt>
                <c:pt idx="46">
                  <c:v>352500000</c:v>
                </c:pt>
                <c:pt idx="47">
                  <c:v>360000000</c:v>
                </c:pt>
                <c:pt idx="48">
                  <c:v>367500000</c:v>
                </c:pt>
                <c:pt idx="49">
                  <c:v>375000000</c:v>
                </c:pt>
                <c:pt idx="50">
                  <c:v>382500000</c:v>
                </c:pt>
                <c:pt idx="51">
                  <c:v>390000000</c:v>
                </c:pt>
                <c:pt idx="52">
                  <c:v>397500000</c:v>
                </c:pt>
                <c:pt idx="53">
                  <c:v>405000000</c:v>
                </c:pt>
                <c:pt idx="54">
                  <c:v>412500000</c:v>
                </c:pt>
                <c:pt idx="55">
                  <c:v>420000000</c:v>
                </c:pt>
                <c:pt idx="56">
                  <c:v>427500000</c:v>
                </c:pt>
                <c:pt idx="57">
                  <c:v>435000000</c:v>
                </c:pt>
                <c:pt idx="58">
                  <c:v>442500000</c:v>
                </c:pt>
                <c:pt idx="59">
                  <c:v>450000000</c:v>
                </c:pt>
                <c:pt idx="60">
                  <c:v>457500000</c:v>
                </c:pt>
                <c:pt idx="61">
                  <c:v>465000000</c:v>
                </c:pt>
                <c:pt idx="62">
                  <c:v>472500000</c:v>
                </c:pt>
                <c:pt idx="63">
                  <c:v>480000000</c:v>
                </c:pt>
                <c:pt idx="64">
                  <c:v>487500000</c:v>
                </c:pt>
                <c:pt idx="65">
                  <c:v>495000000</c:v>
                </c:pt>
                <c:pt idx="66">
                  <c:v>502500000</c:v>
                </c:pt>
                <c:pt idx="67">
                  <c:v>510000000</c:v>
                </c:pt>
                <c:pt idx="68">
                  <c:v>517500000</c:v>
                </c:pt>
                <c:pt idx="69">
                  <c:v>525000000</c:v>
                </c:pt>
                <c:pt idx="70">
                  <c:v>532500000</c:v>
                </c:pt>
                <c:pt idx="71">
                  <c:v>540000000</c:v>
                </c:pt>
                <c:pt idx="72">
                  <c:v>547500000</c:v>
                </c:pt>
                <c:pt idx="73">
                  <c:v>555000000</c:v>
                </c:pt>
                <c:pt idx="74">
                  <c:v>562500000</c:v>
                </c:pt>
                <c:pt idx="75">
                  <c:v>570000000</c:v>
                </c:pt>
                <c:pt idx="76">
                  <c:v>577500000</c:v>
                </c:pt>
                <c:pt idx="77">
                  <c:v>585000000</c:v>
                </c:pt>
                <c:pt idx="78">
                  <c:v>592500000</c:v>
                </c:pt>
                <c:pt idx="79">
                  <c:v>600000000</c:v>
                </c:pt>
                <c:pt idx="80">
                  <c:v>607500000</c:v>
                </c:pt>
                <c:pt idx="81">
                  <c:v>615000000</c:v>
                </c:pt>
                <c:pt idx="82">
                  <c:v>622500000</c:v>
                </c:pt>
                <c:pt idx="83">
                  <c:v>630000000</c:v>
                </c:pt>
                <c:pt idx="84">
                  <c:v>637500000</c:v>
                </c:pt>
                <c:pt idx="85">
                  <c:v>645000000</c:v>
                </c:pt>
                <c:pt idx="86">
                  <c:v>652500000</c:v>
                </c:pt>
                <c:pt idx="87">
                  <c:v>660000000</c:v>
                </c:pt>
                <c:pt idx="88">
                  <c:v>667500000</c:v>
                </c:pt>
                <c:pt idx="89">
                  <c:v>675000000</c:v>
                </c:pt>
                <c:pt idx="90">
                  <c:v>682500000</c:v>
                </c:pt>
                <c:pt idx="91">
                  <c:v>690000000</c:v>
                </c:pt>
                <c:pt idx="92">
                  <c:v>697500000</c:v>
                </c:pt>
                <c:pt idx="93">
                  <c:v>705000000</c:v>
                </c:pt>
                <c:pt idx="94">
                  <c:v>712500000</c:v>
                </c:pt>
                <c:pt idx="95">
                  <c:v>720000000</c:v>
                </c:pt>
                <c:pt idx="96">
                  <c:v>727500000</c:v>
                </c:pt>
                <c:pt idx="97">
                  <c:v>735000000</c:v>
                </c:pt>
                <c:pt idx="98">
                  <c:v>742500000</c:v>
                </c:pt>
                <c:pt idx="99">
                  <c:v>750000000</c:v>
                </c:pt>
                <c:pt idx="100">
                  <c:v>757500000</c:v>
                </c:pt>
                <c:pt idx="101">
                  <c:v>765000000</c:v>
                </c:pt>
                <c:pt idx="102">
                  <c:v>772500000</c:v>
                </c:pt>
                <c:pt idx="103">
                  <c:v>780000000</c:v>
                </c:pt>
                <c:pt idx="104">
                  <c:v>787500000</c:v>
                </c:pt>
                <c:pt idx="105">
                  <c:v>795000000</c:v>
                </c:pt>
                <c:pt idx="106">
                  <c:v>802500000</c:v>
                </c:pt>
                <c:pt idx="107">
                  <c:v>810000000</c:v>
                </c:pt>
                <c:pt idx="108">
                  <c:v>817500000</c:v>
                </c:pt>
                <c:pt idx="109">
                  <c:v>825000000</c:v>
                </c:pt>
                <c:pt idx="110">
                  <c:v>832500000</c:v>
                </c:pt>
                <c:pt idx="111">
                  <c:v>840000000</c:v>
                </c:pt>
                <c:pt idx="112">
                  <c:v>847500000</c:v>
                </c:pt>
                <c:pt idx="113">
                  <c:v>855000000</c:v>
                </c:pt>
                <c:pt idx="114">
                  <c:v>862500000</c:v>
                </c:pt>
                <c:pt idx="115">
                  <c:v>870000000</c:v>
                </c:pt>
                <c:pt idx="116">
                  <c:v>877500000</c:v>
                </c:pt>
                <c:pt idx="117">
                  <c:v>885000000</c:v>
                </c:pt>
                <c:pt idx="118">
                  <c:v>892500000</c:v>
                </c:pt>
                <c:pt idx="119">
                  <c:v>900000000</c:v>
                </c:pt>
                <c:pt idx="120">
                  <c:v>907500000</c:v>
                </c:pt>
                <c:pt idx="121">
                  <c:v>915000000</c:v>
                </c:pt>
                <c:pt idx="122">
                  <c:v>922500000</c:v>
                </c:pt>
                <c:pt idx="123">
                  <c:v>930000000</c:v>
                </c:pt>
                <c:pt idx="124">
                  <c:v>937500000</c:v>
                </c:pt>
                <c:pt idx="125">
                  <c:v>945000000</c:v>
                </c:pt>
                <c:pt idx="126">
                  <c:v>952500000</c:v>
                </c:pt>
                <c:pt idx="127">
                  <c:v>960000000</c:v>
                </c:pt>
                <c:pt idx="128">
                  <c:v>967500000</c:v>
                </c:pt>
                <c:pt idx="129">
                  <c:v>975000000</c:v>
                </c:pt>
                <c:pt idx="130">
                  <c:v>982500000</c:v>
                </c:pt>
                <c:pt idx="131">
                  <c:v>990000000</c:v>
                </c:pt>
                <c:pt idx="132">
                  <c:v>997500000</c:v>
                </c:pt>
                <c:pt idx="133">
                  <c:v>1005000000</c:v>
                </c:pt>
                <c:pt idx="134">
                  <c:v>1012500000</c:v>
                </c:pt>
                <c:pt idx="135">
                  <c:v>1020000000</c:v>
                </c:pt>
                <c:pt idx="136">
                  <c:v>1027500000</c:v>
                </c:pt>
                <c:pt idx="137">
                  <c:v>1035000000</c:v>
                </c:pt>
                <c:pt idx="138">
                  <c:v>1042500000</c:v>
                </c:pt>
                <c:pt idx="139">
                  <c:v>1050000000</c:v>
                </c:pt>
                <c:pt idx="140">
                  <c:v>1057500000</c:v>
                </c:pt>
                <c:pt idx="141">
                  <c:v>1065000000</c:v>
                </c:pt>
                <c:pt idx="142">
                  <c:v>1072500000</c:v>
                </c:pt>
                <c:pt idx="143">
                  <c:v>1080000000</c:v>
                </c:pt>
                <c:pt idx="144">
                  <c:v>1087500000</c:v>
                </c:pt>
                <c:pt idx="145">
                  <c:v>1095000000</c:v>
                </c:pt>
                <c:pt idx="146">
                  <c:v>1102500000</c:v>
                </c:pt>
                <c:pt idx="147">
                  <c:v>1110000000</c:v>
                </c:pt>
                <c:pt idx="148">
                  <c:v>1117500000</c:v>
                </c:pt>
                <c:pt idx="149">
                  <c:v>1125000000</c:v>
                </c:pt>
                <c:pt idx="150">
                  <c:v>1132500000</c:v>
                </c:pt>
                <c:pt idx="151">
                  <c:v>1140000000</c:v>
                </c:pt>
                <c:pt idx="152">
                  <c:v>1147500000</c:v>
                </c:pt>
                <c:pt idx="153">
                  <c:v>1155000000</c:v>
                </c:pt>
                <c:pt idx="154">
                  <c:v>1162500000</c:v>
                </c:pt>
                <c:pt idx="155">
                  <c:v>1170000000</c:v>
                </c:pt>
                <c:pt idx="156">
                  <c:v>1177500000</c:v>
                </c:pt>
                <c:pt idx="157">
                  <c:v>1185000000</c:v>
                </c:pt>
                <c:pt idx="158">
                  <c:v>1192500000</c:v>
                </c:pt>
                <c:pt idx="159">
                  <c:v>1200000000</c:v>
                </c:pt>
                <c:pt idx="160">
                  <c:v>1207500000</c:v>
                </c:pt>
                <c:pt idx="161">
                  <c:v>1215000000</c:v>
                </c:pt>
                <c:pt idx="162">
                  <c:v>1222500000</c:v>
                </c:pt>
                <c:pt idx="163">
                  <c:v>1230000000</c:v>
                </c:pt>
                <c:pt idx="164">
                  <c:v>1237500000</c:v>
                </c:pt>
                <c:pt idx="165">
                  <c:v>1245000000</c:v>
                </c:pt>
                <c:pt idx="166">
                  <c:v>1252500000</c:v>
                </c:pt>
                <c:pt idx="167">
                  <c:v>1260000000</c:v>
                </c:pt>
                <c:pt idx="168">
                  <c:v>1267500000</c:v>
                </c:pt>
                <c:pt idx="169">
                  <c:v>1275000000</c:v>
                </c:pt>
                <c:pt idx="170">
                  <c:v>1282500000</c:v>
                </c:pt>
                <c:pt idx="171">
                  <c:v>1290000000</c:v>
                </c:pt>
                <c:pt idx="172">
                  <c:v>1297500000</c:v>
                </c:pt>
                <c:pt idx="173">
                  <c:v>1305000000</c:v>
                </c:pt>
                <c:pt idx="174">
                  <c:v>1312500000</c:v>
                </c:pt>
                <c:pt idx="175">
                  <c:v>1320000000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CE-4B18-B075-81BD9332F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373504"/>
        <c:axId val="89379744"/>
      </c:lineChart>
      <c:scatterChart>
        <c:scatterStyle val="lineMarker"/>
        <c:varyColors val="0"/>
        <c:ser>
          <c:idx val="4"/>
          <c:order val="4"/>
          <c:tx>
            <c:v>1 квартал</c:v>
          </c:tx>
          <c:spPr>
            <a:ln w="12700" cap="rnd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График!$H$2:$H$3</c:f>
              <c:numCache>
                <c:formatCode>m/d/yyyy</c:formatCode>
                <c:ptCount val="2"/>
                <c:pt idx="0">
                  <c:v>45016</c:v>
                </c:pt>
                <c:pt idx="1">
                  <c:v>45016</c:v>
                </c:pt>
              </c:numCache>
            </c:numRef>
          </c:xVal>
          <c:yVal>
            <c:numRef>
              <c:f>График!$I$2:$I$3</c:f>
              <c:numCache>
                <c:formatCode>General</c:formatCode>
                <c:ptCount val="2"/>
                <c:pt idx="0">
                  <c:v>0</c:v>
                </c:pt>
                <c:pt idx="1">
                  <c:v>3000000000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36-4237-8C5B-9F4BA35C1E9C}"/>
            </c:ext>
          </c:extLst>
        </c:ser>
        <c:ser>
          <c:idx val="5"/>
          <c:order val="5"/>
          <c:tx>
            <c:v>2 квартал</c:v>
          </c:tx>
          <c:spPr>
            <a:ln w="1270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График!$H$4:$H$5</c:f>
              <c:numCache>
                <c:formatCode>m/d/yyyy</c:formatCode>
                <c:ptCount val="2"/>
                <c:pt idx="0">
                  <c:v>45107</c:v>
                </c:pt>
                <c:pt idx="1">
                  <c:v>45107</c:v>
                </c:pt>
              </c:numCache>
            </c:numRef>
          </c:xVal>
          <c:yVal>
            <c:numRef>
              <c:f>График!$I$4:$I$5</c:f>
              <c:numCache>
                <c:formatCode>General</c:formatCode>
                <c:ptCount val="2"/>
                <c:pt idx="0">
                  <c:v>0</c:v>
                </c:pt>
                <c:pt idx="1">
                  <c:v>3000000000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36-4237-8C5B-9F4BA35C1E9C}"/>
            </c:ext>
          </c:extLst>
        </c:ser>
        <c:ser>
          <c:idx val="6"/>
          <c:order val="6"/>
          <c:tx>
            <c:v>3 кватал</c:v>
          </c:tx>
          <c:spPr>
            <a:ln w="12700" cap="rnd">
              <a:solidFill>
                <a:schemeClr val="accent1">
                  <a:lumMod val="6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График!$H$6:$H$7</c:f>
              <c:numCache>
                <c:formatCode>m/d/yyyy</c:formatCode>
                <c:ptCount val="2"/>
                <c:pt idx="0">
                  <c:v>45199</c:v>
                </c:pt>
                <c:pt idx="1">
                  <c:v>45199</c:v>
                </c:pt>
              </c:numCache>
            </c:numRef>
          </c:xVal>
          <c:yVal>
            <c:numRef>
              <c:f>График!$I$6:$I$7</c:f>
              <c:numCache>
                <c:formatCode>General</c:formatCode>
                <c:ptCount val="2"/>
                <c:pt idx="0">
                  <c:v>0</c:v>
                </c:pt>
                <c:pt idx="1">
                  <c:v>3000000000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636-4237-8C5B-9F4BA35C1E9C}"/>
            </c:ext>
          </c:extLst>
        </c:ser>
        <c:ser>
          <c:idx val="7"/>
          <c:order val="7"/>
          <c:tx>
            <c:v>4 квартал</c:v>
          </c:tx>
          <c:spPr>
            <a:ln w="12700" cap="rnd">
              <a:solidFill>
                <a:schemeClr val="accent2">
                  <a:lumMod val="6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График!$H$8:$H$9</c:f>
              <c:numCache>
                <c:formatCode>m/d/yyyy</c:formatCode>
                <c:ptCount val="2"/>
                <c:pt idx="0">
                  <c:v>45291</c:v>
                </c:pt>
                <c:pt idx="1">
                  <c:v>45291</c:v>
                </c:pt>
              </c:numCache>
            </c:numRef>
          </c:xVal>
          <c:yVal>
            <c:numRef>
              <c:f>График!$I$8:$I$9</c:f>
              <c:numCache>
                <c:formatCode>General</c:formatCode>
                <c:ptCount val="2"/>
                <c:pt idx="0">
                  <c:v>0</c:v>
                </c:pt>
                <c:pt idx="1">
                  <c:v>3000000000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636-4237-8C5B-9F4BA35C1E9C}"/>
            </c:ext>
          </c:extLst>
        </c:ser>
        <c:ser>
          <c:idx val="8"/>
          <c:order val="8"/>
          <c:tx>
            <c:v>ГКК</c:v>
          </c:tx>
          <c:spPr>
            <a:ln w="12700" cap="rnd">
              <a:solidFill>
                <a:schemeClr val="accent3">
                  <a:lumMod val="6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График!$D$2:$D$366</c:f>
              <c:numCache>
                <c:formatCode>m/d/yyyy</c:formatCode>
                <c:ptCount val="365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</c:numCache>
            </c:numRef>
          </c:xVal>
          <c:yVal>
            <c:numRef>
              <c:f>График!$F$2:$F$366</c:f>
              <c:numCache>
                <c:formatCode>General</c:formatCode>
                <c:ptCount val="365"/>
                <c:pt idx="0">
                  <c:v>2900000000</c:v>
                </c:pt>
                <c:pt idx="1">
                  <c:v>2900000000</c:v>
                </c:pt>
                <c:pt idx="2">
                  <c:v>2900000000</c:v>
                </c:pt>
                <c:pt idx="3">
                  <c:v>2900000000</c:v>
                </c:pt>
                <c:pt idx="4">
                  <c:v>2900000000</c:v>
                </c:pt>
                <c:pt idx="5">
                  <c:v>2900000000</c:v>
                </c:pt>
                <c:pt idx="6">
                  <c:v>2900000000</c:v>
                </c:pt>
                <c:pt idx="7">
                  <c:v>2900000000</c:v>
                </c:pt>
                <c:pt idx="8">
                  <c:v>2900000000</c:v>
                </c:pt>
                <c:pt idx="9">
                  <c:v>2900000000</c:v>
                </c:pt>
                <c:pt idx="10">
                  <c:v>2900000000</c:v>
                </c:pt>
                <c:pt idx="11">
                  <c:v>2900000000</c:v>
                </c:pt>
                <c:pt idx="12">
                  <c:v>2900000000</c:v>
                </c:pt>
                <c:pt idx="13">
                  <c:v>2900000000</c:v>
                </c:pt>
                <c:pt idx="14">
                  <c:v>2900000000</c:v>
                </c:pt>
                <c:pt idx="15">
                  <c:v>2900000000</c:v>
                </c:pt>
                <c:pt idx="16">
                  <c:v>2900000000</c:v>
                </c:pt>
                <c:pt idx="17">
                  <c:v>2900000000</c:v>
                </c:pt>
                <c:pt idx="18">
                  <c:v>2900000000</c:v>
                </c:pt>
                <c:pt idx="19">
                  <c:v>2900000000</c:v>
                </c:pt>
                <c:pt idx="20">
                  <c:v>2900000000</c:v>
                </c:pt>
                <c:pt idx="21">
                  <c:v>2900000000</c:v>
                </c:pt>
                <c:pt idx="22">
                  <c:v>2900000000</c:v>
                </c:pt>
                <c:pt idx="23">
                  <c:v>2900000000</c:v>
                </c:pt>
                <c:pt idx="24">
                  <c:v>2900000000</c:v>
                </c:pt>
                <c:pt idx="25">
                  <c:v>2900000000</c:v>
                </c:pt>
                <c:pt idx="26">
                  <c:v>2900000000</c:v>
                </c:pt>
                <c:pt idx="27">
                  <c:v>2900000000</c:v>
                </c:pt>
                <c:pt idx="28">
                  <c:v>2900000000</c:v>
                </c:pt>
                <c:pt idx="29">
                  <c:v>2900000000</c:v>
                </c:pt>
                <c:pt idx="30">
                  <c:v>2900000000</c:v>
                </c:pt>
                <c:pt idx="31">
                  <c:v>2900000000</c:v>
                </c:pt>
                <c:pt idx="32">
                  <c:v>2900000000</c:v>
                </c:pt>
                <c:pt idx="33">
                  <c:v>2900000000</c:v>
                </c:pt>
                <c:pt idx="34">
                  <c:v>2900000000</c:v>
                </c:pt>
                <c:pt idx="35">
                  <c:v>2900000000</c:v>
                </c:pt>
                <c:pt idx="36">
                  <c:v>2900000000</c:v>
                </c:pt>
                <c:pt idx="37">
                  <c:v>2900000000</c:v>
                </c:pt>
                <c:pt idx="38">
                  <c:v>2900000000</c:v>
                </c:pt>
                <c:pt idx="39">
                  <c:v>2900000000</c:v>
                </c:pt>
                <c:pt idx="40">
                  <c:v>2900000000</c:v>
                </c:pt>
                <c:pt idx="41">
                  <c:v>2900000000</c:v>
                </c:pt>
                <c:pt idx="42">
                  <c:v>2900000000</c:v>
                </c:pt>
                <c:pt idx="43">
                  <c:v>2900000000</c:v>
                </c:pt>
                <c:pt idx="44">
                  <c:v>2900000000</c:v>
                </c:pt>
                <c:pt idx="45">
                  <c:v>2900000000</c:v>
                </c:pt>
                <c:pt idx="46">
                  <c:v>2900000000</c:v>
                </c:pt>
                <c:pt idx="47">
                  <c:v>2900000000</c:v>
                </c:pt>
                <c:pt idx="48">
                  <c:v>2900000000</c:v>
                </c:pt>
                <c:pt idx="49">
                  <c:v>2900000000</c:v>
                </c:pt>
                <c:pt idx="50">
                  <c:v>2900000000</c:v>
                </c:pt>
                <c:pt idx="51">
                  <c:v>2900000000</c:v>
                </c:pt>
                <c:pt idx="52">
                  <c:v>2900000000</c:v>
                </c:pt>
                <c:pt idx="53">
                  <c:v>2900000000</c:v>
                </c:pt>
                <c:pt idx="54">
                  <c:v>2900000000</c:v>
                </c:pt>
                <c:pt idx="55">
                  <c:v>2900000000</c:v>
                </c:pt>
                <c:pt idx="56">
                  <c:v>2900000000</c:v>
                </c:pt>
                <c:pt idx="57">
                  <c:v>2900000000</c:v>
                </c:pt>
                <c:pt idx="58">
                  <c:v>2900000000</c:v>
                </c:pt>
                <c:pt idx="59">
                  <c:v>2900000000</c:v>
                </c:pt>
                <c:pt idx="60">
                  <c:v>2900000000</c:v>
                </c:pt>
                <c:pt idx="61">
                  <c:v>2900000000</c:v>
                </c:pt>
                <c:pt idx="62">
                  <c:v>2900000000</c:v>
                </c:pt>
                <c:pt idx="63">
                  <c:v>2900000000</c:v>
                </c:pt>
                <c:pt idx="64">
                  <c:v>2900000000</c:v>
                </c:pt>
                <c:pt idx="65">
                  <c:v>2900000000</c:v>
                </c:pt>
                <c:pt idx="66">
                  <c:v>2900000000</c:v>
                </c:pt>
                <c:pt idx="67">
                  <c:v>2900000000</c:v>
                </c:pt>
                <c:pt idx="68">
                  <c:v>2900000000</c:v>
                </c:pt>
                <c:pt idx="69">
                  <c:v>2900000000</c:v>
                </c:pt>
                <c:pt idx="70">
                  <c:v>2900000000</c:v>
                </c:pt>
                <c:pt idx="71">
                  <c:v>2900000000</c:v>
                </c:pt>
                <c:pt idx="72">
                  <c:v>2900000000</c:v>
                </c:pt>
                <c:pt idx="73">
                  <c:v>2900000000</c:v>
                </c:pt>
                <c:pt idx="74">
                  <c:v>2900000000</c:v>
                </c:pt>
                <c:pt idx="75">
                  <c:v>2900000000</c:v>
                </c:pt>
                <c:pt idx="76">
                  <c:v>2900000000</c:v>
                </c:pt>
                <c:pt idx="77">
                  <c:v>2900000000</c:v>
                </c:pt>
                <c:pt idx="78">
                  <c:v>2900000000</c:v>
                </c:pt>
                <c:pt idx="79">
                  <c:v>2900000000</c:v>
                </c:pt>
                <c:pt idx="80">
                  <c:v>2900000000</c:v>
                </c:pt>
                <c:pt idx="81">
                  <c:v>2900000000</c:v>
                </c:pt>
                <c:pt idx="82">
                  <c:v>2900000000</c:v>
                </c:pt>
                <c:pt idx="83">
                  <c:v>2900000000</c:v>
                </c:pt>
                <c:pt idx="84">
                  <c:v>2900000000</c:v>
                </c:pt>
                <c:pt idx="85">
                  <c:v>2900000000</c:v>
                </c:pt>
                <c:pt idx="86">
                  <c:v>2900000000</c:v>
                </c:pt>
                <c:pt idx="87">
                  <c:v>2900000000</c:v>
                </c:pt>
                <c:pt idx="88">
                  <c:v>2900000000</c:v>
                </c:pt>
                <c:pt idx="89">
                  <c:v>2900000000</c:v>
                </c:pt>
                <c:pt idx="90">
                  <c:v>2900000000</c:v>
                </c:pt>
                <c:pt idx="91">
                  <c:v>2900000000</c:v>
                </c:pt>
                <c:pt idx="92">
                  <c:v>2900000000</c:v>
                </c:pt>
                <c:pt idx="93">
                  <c:v>2900000000</c:v>
                </c:pt>
                <c:pt idx="94">
                  <c:v>2900000000</c:v>
                </c:pt>
                <c:pt idx="95">
                  <c:v>2900000000</c:v>
                </c:pt>
                <c:pt idx="96">
                  <c:v>2900000000</c:v>
                </c:pt>
                <c:pt idx="97">
                  <c:v>2900000000</c:v>
                </c:pt>
                <c:pt idx="98">
                  <c:v>2900000000</c:v>
                </c:pt>
                <c:pt idx="99">
                  <c:v>2900000000</c:v>
                </c:pt>
                <c:pt idx="100">
                  <c:v>2900000000</c:v>
                </c:pt>
                <c:pt idx="101">
                  <c:v>2900000000</c:v>
                </c:pt>
                <c:pt idx="102">
                  <c:v>2900000000</c:v>
                </c:pt>
                <c:pt idx="103">
                  <c:v>2900000000</c:v>
                </c:pt>
                <c:pt idx="104">
                  <c:v>2900000000</c:v>
                </c:pt>
                <c:pt idx="105">
                  <c:v>2900000000</c:v>
                </c:pt>
                <c:pt idx="106">
                  <c:v>2900000000</c:v>
                </c:pt>
                <c:pt idx="107">
                  <c:v>2900000000</c:v>
                </c:pt>
                <c:pt idx="108">
                  <c:v>2900000000</c:v>
                </c:pt>
                <c:pt idx="109">
                  <c:v>2900000000</c:v>
                </c:pt>
                <c:pt idx="110">
                  <c:v>2900000000</c:v>
                </c:pt>
                <c:pt idx="111">
                  <c:v>2900000000</c:v>
                </c:pt>
                <c:pt idx="112">
                  <c:v>2900000000</c:v>
                </c:pt>
                <c:pt idx="113">
                  <c:v>2900000000</c:v>
                </c:pt>
                <c:pt idx="114">
                  <c:v>2900000000</c:v>
                </c:pt>
                <c:pt idx="115">
                  <c:v>2900000000</c:v>
                </c:pt>
                <c:pt idx="116">
                  <c:v>2900000000</c:v>
                </c:pt>
                <c:pt idx="117">
                  <c:v>2900000000</c:v>
                </c:pt>
                <c:pt idx="118">
                  <c:v>2900000000</c:v>
                </c:pt>
                <c:pt idx="119">
                  <c:v>2900000000</c:v>
                </c:pt>
                <c:pt idx="120">
                  <c:v>2900000000</c:v>
                </c:pt>
                <c:pt idx="121">
                  <c:v>2900000000</c:v>
                </c:pt>
                <c:pt idx="122">
                  <c:v>2900000000</c:v>
                </c:pt>
                <c:pt idx="123">
                  <c:v>2900000000</c:v>
                </c:pt>
                <c:pt idx="124">
                  <c:v>2900000000</c:v>
                </c:pt>
                <c:pt idx="125">
                  <c:v>2900000000</c:v>
                </c:pt>
                <c:pt idx="126">
                  <c:v>2900000000</c:v>
                </c:pt>
                <c:pt idx="127">
                  <c:v>2900000000</c:v>
                </c:pt>
                <c:pt idx="128">
                  <c:v>2900000000</c:v>
                </c:pt>
                <c:pt idx="129">
                  <c:v>2900000000</c:v>
                </c:pt>
                <c:pt idx="130">
                  <c:v>2900000000</c:v>
                </c:pt>
                <c:pt idx="131">
                  <c:v>2900000000</c:v>
                </c:pt>
                <c:pt idx="132">
                  <c:v>2900000000</c:v>
                </c:pt>
                <c:pt idx="133">
                  <c:v>2900000000</c:v>
                </c:pt>
                <c:pt idx="134">
                  <c:v>2900000000</c:v>
                </c:pt>
                <c:pt idx="135">
                  <c:v>2900000000</c:v>
                </c:pt>
                <c:pt idx="136">
                  <c:v>2900000000</c:v>
                </c:pt>
                <c:pt idx="137">
                  <c:v>2900000000</c:v>
                </c:pt>
                <c:pt idx="138">
                  <c:v>2900000000</c:v>
                </c:pt>
                <c:pt idx="139">
                  <c:v>2900000000</c:v>
                </c:pt>
                <c:pt idx="140">
                  <c:v>2900000000</c:v>
                </c:pt>
                <c:pt idx="141">
                  <c:v>2900000000</c:v>
                </c:pt>
                <c:pt idx="142">
                  <c:v>2900000000</c:v>
                </c:pt>
                <c:pt idx="143">
                  <c:v>2900000000</c:v>
                </c:pt>
                <c:pt idx="144">
                  <c:v>2900000000</c:v>
                </c:pt>
                <c:pt idx="145">
                  <c:v>2900000000</c:v>
                </c:pt>
                <c:pt idx="146">
                  <c:v>2900000000</c:v>
                </c:pt>
                <c:pt idx="147">
                  <c:v>2900000000</c:v>
                </c:pt>
                <c:pt idx="148">
                  <c:v>2900000000</c:v>
                </c:pt>
                <c:pt idx="149">
                  <c:v>2900000000</c:v>
                </c:pt>
                <c:pt idx="150">
                  <c:v>2900000000</c:v>
                </c:pt>
                <c:pt idx="151">
                  <c:v>2900000000</c:v>
                </c:pt>
                <c:pt idx="152">
                  <c:v>2900000000</c:v>
                </c:pt>
                <c:pt idx="153">
                  <c:v>2900000000</c:v>
                </c:pt>
                <c:pt idx="154">
                  <c:v>2900000000</c:v>
                </c:pt>
                <c:pt idx="155">
                  <c:v>2900000000</c:v>
                </c:pt>
                <c:pt idx="156">
                  <c:v>2900000000</c:v>
                </c:pt>
                <c:pt idx="157">
                  <c:v>2900000000</c:v>
                </c:pt>
                <c:pt idx="158">
                  <c:v>2900000000</c:v>
                </c:pt>
                <c:pt idx="159">
                  <c:v>2900000000</c:v>
                </c:pt>
                <c:pt idx="160">
                  <c:v>2900000000</c:v>
                </c:pt>
                <c:pt idx="161">
                  <c:v>2900000000</c:v>
                </c:pt>
                <c:pt idx="162">
                  <c:v>2900000000</c:v>
                </c:pt>
                <c:pt idx="163">
                  <c:v>2900000000</c:v>
                </c:pt>
                <c:pt idx="164">
                  <c:v>2900000000</c:v>
                </c:pt>
                <c:pt idx="165">
                  <c:v>2900000000</c:v>
                </c:pt>
                <c:pt idx="166">
                  <c:v>2900000000</c:v>
                </c:pt>
                <c:pt idx="167">
                  <c:v>2900000000</c:v>
                </c:pt>
                <c:pt idx="168">
                  <c:v>2900000000</c:v>
                </c:pt>
                <c:pt idx="169">
                  <c:v>2900000000</c:v>
                </c:pt>
                <c:pt idx="170">
                  <c:v>2900000000</c:v>
                </c:pt>
                <c:pt idx="171">
                  <c:v>2900000000</c:v>
                </c:pt>
                <c:pt idx="172">
                  <c:v>2900000000</c:v>
                </c:pt>
                <c:pt idx="173">
                  <c:v>2900000000</c:v>
                </c:pt>
                <c:pt idx="174">
                  <c:v>2900000000</c:v>
                </c:pt>
                <c:pt idx="175">
                  <c:v>2900000000</c:v>
                </c:pt>
                <c:pt idx="176">
                  <c:v>2900000000</c:v>
                </c:pt>
                <c:pt idx="177">
                  <c:v>2900000000</c:v>
                </c:pt>
                <c:pt idx="178">
                  <c:v>2900000000</c:v>
                </c:pt>
                <c:pt idx="179">
                  <c:v>2900000000</c:v>
                </c:pt>
                <c:pt idx="180">
                  <c:v>2900000000</c:v>
                </c:pt>
                <c:pt idx="181">
                  <c:v>2900000000</c:v>
                </c:pt>
                <c:pt idx="182">
                  <c:v>2900000000</c:v>
                </c:pt>
                <c:pt idx="183">
                  <c:v>2900000000</c:v>
                </c:pt>
                <c:pt idx="184">
                  <c:v>2900000000</c:v>
                </c:pt>
                <c:pt idx="185">
                  <c:v>2900000000</c:v>
                </c:pt>
                <c:pt idx="186">
                  <c:v>2900000000</c:v>
                </c:pt>
                <c:pt idx="187">
                  <c:v>2900000000</c:v>
                </c:pt>
                <c:pt idx="188">
                  <c:v>2900000000</c:v>
                </c:pt>
                <c:pt idx="189">
                  <c:v>2900000000</c:v>
                </c:pt>
                <c:pt idx="190">
                  <c:v>2900000000</c:v>
                </c:pt>
                <c:pt idx="191">
                  <c:v>2900000000</c:v>
                </c:pt>
                <c:pt idx="192">
                  <c:v>2900000000</c:v>
                </c:pt>
                <c:pt idx="193">
                  <c:v>2900000000</c:v>
                </c:pt>
                <c:pt idx="194">
                  <c:v>2900000000</c:v>
                </c:pt>
                <c:pt idx="195">
                  <c:v>2900000000</c:v>
                </c:pt>
                <c:pt idx="196">
                  <c:v>2900000000</c:v>
                </c:pt>
                <c:pt idx="197">
                  <c:v>2900000000</c:v>
                </c:pt>
                <c:pt idx="198">
                  <c:v>2900000000</c:v>
                </c:pt>
                <c:pt idx="199">
                  <c:v>2900000000</c:v>
                </c:pt>
                <c:pt idx="200">
                  <c:v>2900000000</c:v>
                </c:pt>
                <c:pt idx="201">
                  <c:v>2900000000</c:v>
                </c:pt>
                <c:pt idx="202">
                  <c:v>2900000000</c:v>
                </c:pt>
                <c:pt idx="203">
                  <c:v>2900000000</c:v>
                </c:pt>
                <c:pt idx="204">
                  <c:v>2900000000</c:v>
                </c:pt>
                <c:pt idx="205">
                  <c:v>2900000000</c:v>
                </c:pt>
                <c:pt idx="206">
                  <c:v>2900000000</c:v>
                </c:pt>
                <c:pt idx="207">
                  <c:v>2900000000</c:v>
                </c:pt>
                <c:pt idx="208">
                  <c:v>2900000000</c:v>
                </c:pt>
                <c:pt idx="209">
                  <c:v>2900000000</c:v>
                </c:pt>
                <c:pt idx="210">
                  <c:v>2900000000</c:v>
                </c:pt>
                <c:pt idx="211">
                  <c:v>2900000000</c:v>
                </c:pt>
                <c:pt idx="212">
                  <c:v>2900000000</c:v>
                </c:pt>
                <c:pt idx="213">
                  <c:v>2900000000</c:v>
                </c:pt>
                <c:pt idx="214">
                  <c:v>2900000000</c:v>
                </c:pt>
                <c:pt idx="215">
                  <c:v>2900000000</c:v>
                </c:pt>
                <c:pt idx="216">
                  <c:v>2900000000</c:v>
                </c:pt>
                <c:pt idx="217">
                  <c:v>2900000000</c:v>
                </c:pt>
                <c:pt idx="218">
                  <c:v>2900000000</c:v>
                </c:pt>
                <c:pt idx="219">
                  <c:v>2900000000</c:v>
                </c:pt>
                <c:pt idx="220">
                  <c:v>2900000000</c:v>
                </c:pt>
                <c:pt idx="221">
                  <c:v>2900000000</c:v>
                </c:pt>
                <c:pt idx="222">
                  <c:v>2900000000</c:v>
                </c:pt>
                <c:pt idx="223">
                  <c:v>2900000000</c:v>
                </c:pt>
                <c:pt idx="224">
                  <c:v>2900000000</c:v>
                </c:pt>
                <c:pt idx="225">
                  <c:v>2900000000</c:v>
                </c:pt>
                <c:pt idx="226">
                  <c:v>2900000000</c:v>
                </c:pt>
                <c:pt idx="227">
                  <c:v>2900000000</c:v>
                </c:pt>
                <c:pt idx="228">
                  <c:v>2900000000</c:v>
                </c:pt>
                <c:pt idx="229">
                  <c:v>2900000000</c:v>
                </c:pt>
                <c:pt idx="230">
                  <c:v>2900000000</c:v>
                </c:pt>
                <c:pt idx="231">
                  <c:v>2900000000</c:v>
                </c:pt>
                <c:pt idx="232">
                  <c:v>2900000000</c:v>
                </c:pt>
                <c:pt idx="233">
                  <c:v>2900000000</c:v>
                </c:pt>
                <c:pt idx="234">
                  <c:v>2900000000</c:v>
                </c:pt>
                <c:pt idx="235">
                  <c:v>2900000000</c:v>
                </c:pt>
                <c:pt idx="236">
                  <c:v>2900000000</c:v>
                </c:pt>
                <c:pt idx="237">
                  <c:v>2900000000</c:v>
                </c:pt>
                <c:pt idx="238">
                  <c:v>2900000000</c:v>
                </c:pt>
                <c:pt idx="239">
                  <c:v>2900000000</c:v>
                </c:pt>
                <c:pt idx="240">
                  <c:v>2900000000</c:v>
                </c:pt>
                <c:pt idx="241">
                  <c:v>2900000000</c:v>
                </c:pt>
                <c:pt idx="242">
                  <c:v>2900000000</c:v>
                </c:pt>
                <c:pt idx="243">
                  <c:v>2900000000</c:v>
                </c:pt>
                <c:pt idx="244">
                  <c:v>2900000000</c:v>
                </c:pt>
                <c:pt idx="245">
                  <c:v>2900000000</c:v>
                </c:pt>
                <c:pt idx="246">
                  <c:v>2900000000</c:v>
                </c:pt>
                <c:pt idx="247">
                  <c:v>2900000000</c:v>
                </c:pt>
                <c:pt idx="248">
                  <c:v>2900000000</c:v>
                </c:pt>
                <c:pt idx="249">
                  <c:v>2900000000</c:v>
                </c:pt>
                <c:pt idx="250">
                  <c:v>2900000000</c:v>
                </c:pt>
                <c:pt idx="251">
                  <c:v>2900000000</c:v>
                </c:pt>
                <c:pt idx="252">
                  <c:v>2900000000</c:v>
                </c:pt>
                <c:pt idx="253">
                  <c:v>2900000000</c:v>
                </c:pt>
                <c:pt idx="254">
                  <c:v>2900000000</c:v>
                </c:pt>
                <c:pt idx="255">
                  <c:v>2900000000</c:v>
                </c:pt>
                <c:pt idx="256">
                  <c:v>2900000000</c:v>
                </c:pt>
                <c:pt idx="257">
                  <c:v>2900000000</c:v>
                </c:pt>
                <c:pt idx="258">
                  <c:v>2900000000</c:v>
                </c:pt>
                <c:pt idx="259">
                  <c:v>2900000000</c:v>
                </c:pt>
                <c:pt idx="260">
                  <c:v>2900000000</c:v>
                </c:pt>
                <c:pt idx="261">
                  <c:v>2900000000</c:v>
                </c:pt>
                <c:pt idx="262">
                  <c:v>2900000000</c:v>
                </c:pt>
                <c:pt idx="263">
                  <c:v>2900000000</c:v>
                </c:pt>
                <c:pt idx="264">
                  <c:v>2900000000</c:v>
                </c:pt>
                <c:pt idx="265">
                  <c:v>2900000000</c:v>
                </c:pt>
                <c:pt idx="266">
                  <c:v>2900000000</c:v>
                </c:pt>
                <c:pt idx="267">
                  <c:v>2900000000</c:v>
                </c:pt>
                <c:pt idx="268">
                  <c:v>2900000000</c:v>
                </c:pt>
                <c:pt idx="269">
                  <c:v>2900000000</c:v>
                </c:pt>
                <c:pt idx="270">
                  <c:v>2900000000</c:v>
                </c:pt>
                <c:pt idx="271">
                  <c:v>2900000000</c:v>
                </c:pt>
                <c:pt idx="272">
                  <c:v>2900000000</c:v>
                </c:pt>
                <c:pt idx="273">
                  <c:v>2900000000</c:v>
                </c:pt>
                <c:pt idx="274">
                  <c:v>2900000000</c:v>
                </c:pt>
                <c:pt idx="275">
                  <c:v>2900000000</c:v>
                </c:pt>
                <c:pt idx="276">
                  <c:v>2900000000</c:v>
                </c:pt>
                <c:pt idx="277">
                  <c:v>2900000000</c:v>
                </c:pt>
                <c:pt idx="278">
                  <c:v>2900000000</c:v>
                </c:pt>
                <c:pt idx="279">
                  <c:v>2900000000</c:v>
                </c:pt>
                <c:pt idx="280">
                  <c:v>2900000000</c:v>
                </c:pt>
                <c:pt idx="281">
                  <c:v>2900000000</c:v>
                </c:pt>
                <c:pt idx="282">
                  <c:v>2900000000</c:v>
                </c:pt>
                <c:pt idx="283">
                  <c:v>2900000000</c:v>
                </c:pt>
                <c:pt idx="284">
                  <c:v>2900000000</c:v>
                </c:pt>
                <c:pt idx="285">
                  <c:v>2900000000</c:v>
                </c:pt>
                <c:pt idx="286">
                  <c:v>2900000000</c:v>
                </c:pt>
                <c:pt idx="287">
                  <c:v>2900000000</c:v>
                </c:pt>
                <c:pt idx="288">
                  <c:v>2900000000</c:v>
                </c:pt>
                <c:pt idx="289">
                  <c:v>2900000000</c:v>
                </c:pt>
                <c:pt idx="290">
                  <c:v>2900000000</c:v>
                </c:pt>
                <c:pt idx="291">
                  <c:v>2900000000</c:v>
                </c:pt>
                <c:pt idx="292">
                  <c:v>2900000000</c:v>
                </c:pt>
                <c:pt idx="293">
                  <c:v>2900000000</c:v>
                </c:pt>
                <c:pt idx="294">
                  <c:v>2900000000</c:v>
                </c:pt>
                <c:pt idx="295">
                  <c:v>2900000000</c:v>
                </c:pt>
                <c:pt idx="296">
                  <c:v>2900000000</c:v>
                </c:pt>
                <c:pt idx="297">
                  <c:v>2900000000</c:v>
                </c:pt>
                <c:pt idx="298">
                  <c:v>2900000000</c:v>
                </c:pt>
                <c:pt idx="299">
                  <c:v>2900000000</c:v>
                </c:pt>
                <c:pt idx="300">
                  <c:v>2900000000</c:v>
                </c:pt>
                <c:pt idx="301">
                  <c:v>2900000000</c:v>
                </c:pt>
                <c:pt idx="302">
                  <c:v>2900000000</c:v>
                </c:pt>
                <c:pt idx="303">
                  <c:v>2900000000</c:v>
                </c:pt>
                <c:pt idx="304">
                  <c:v>2900000000</c:v>
                </c:pt>
                <c:pt idx="305">
                  <c:v>2900000000</c:v>
                </c:pt>
                <c:pt idx="306">
                  <c:v>2900000000</c:v>
                </c:pt>
                <c:pt idx="307">
                  <c:v>2900000000</c:v>
                </c:pt>
                <c:pt idx="308">
                  <c:v>2900000000</c:v>
                </c:pt>
                <c:pt idx="309">
                  <c:v>2900000000</c:v>
                </c:pt>
                <c:pt idx="310">
                  <c:v>2900000000</c:v>
                </c:pt>
                <c:pt idx="311">
                  <c:v>2900000000</c:v>
                </c:pt>
                <c:pt idx="312">
                  <c:v>2900000000</c:v>
                </c:pt>
                <c:pt idx="313">
                  <c:v>2900000000</c:v>
                </c:pt>
                <c:pt idx="314">
                  <c:v>2900000000</c:v>
                </c:pt>
                <c:pt idx="315">
                  <c:v>2900000000</c:v>
                </c:pt>
                <c:pt idx="316">
                  <c:v>2900000000</c:v>
                </c:pt>
                <c:pt idx="317">
                  <c:v>2900000000</c:v>
                </c:pt>
                <c:pt idx="318">
                  <c:v>2900000000</c:v>
                </c:pt>
                <c:pt idx="319">
                  <c:v>2900000000</c:v>
                </c:pt>
                <c:pt idx="320">
                  <c:v>2900000000</c:v>
                </c:pt>
                <c:pt idx="321">
                  <c:v>2900000000</c:v>
                </c:pt>
                <c:pt idx="322">
                  <c:v>2900000000</c:v>
                </c:pt>
                <c:pt idx="323">
                  <c:v>2900000000</c:v>
                </c:pt>
                <c:pt idx="324">
                  <c:v>2900000000</c:v>
                </c:pt>
                <c:pt idx="325">
                  <c:v>2900000000</c:v>
                </c:pt>
                <c:pt idx="326">
                  <c:v>2900000000</c:v>
                </c:pt>
                <c:pt idx="327">
                  <c:v>2900000000</c:v>
                </c:pt>
                <c:pt idx="328">
                  <c:v>2900000000</c:v>
                </c:pt>
                <c:pt idx="329">
                  <c:v>2900000000</c:v>
                </c:pt>
                <c:pt idx="330">
                  <c:v>2900000000</c:v>
                </c:pt>
                <c:pt idx="331">
                  <c:v>2900000000</c:v>
                </c:pt>
                <c:pt idx="332">
                  <c:v>2900000000</c:v>
                </c:pt>
                <c:pt idx="333">
                  <c:v>2900000000</c:v>
                </c:pt>
                <c:pt idx="334">
                  <c:v>2900000000</c:v>
                </c:pt>
                <c:pt idx="335">
                  <c:v>2900000000</c:v>
                </c:pt>
                <c:pt idx="336">
                  <c:v>2900000000</c:v>
                </c:pt>
                <c:pt idx="337">
                  <c:v>2900000000</c:v>
                </c:pt>
                <c:pt idx="338">
                  <c:v>2900000000</c:v>
                </c:pt>
                <c:pt idx="339">
                  <c:v>2900000000</c:v>
                </c:pt>
                <c:pt idx="340">
                  <c:v>2900000000</c:v>
                </c:pt>
                <c:pt idx="341">
                  <c:v>2900000000</c:v>
                </c:pt>
                <c:pt idx="342">
                  <c:v>2900000000</c:v>
                </c:pt>
                <c:pt idx="343">
                  <c:v>2900000000</c:v>
                </c:pt>
                <c:pt idx="344">
                  <c:v>2900000000</c:v>
                </c:pt>
                <c:pt idx="345">
                  <c:v>2900000000</c:v>
                </c:pt>
                <c:pt idx="346">
                  <c:v>2900000000</c:v>
                </c:pt>
                <c:pt idx="347">
                  <c:v>2900000000</c:v>
                </c:pt>
                <c:pt idx="348">
                  <c:v>2900000000</c:v>
                </c:pt>
                <c:pt idx="349">
                  <c:v>2900000000</c:v>
                </c:pt>
                <c:pt idx="350">
                  <c:v>2900000000</c:v>
                </c:pt>
                <c:pt idx="351">
                  <c:v>2900000000</c:v>
                </c:pt>
                <c:pt idx="352">
                  <c:v>2900000000</c:v>
                </c:pt>
                <c:pt idx="353">
                  <c:v>2900000000</c:v>
                </c:pt>
                <c:pt idx="354">
                  <c:v>2900000000</c:v>
                </c:pt>
                <c:pt idx="355">
                  <c:v>2900000000</c:v>
                </c:pt>
                <c:pt idx="356">
                  <c:v>2900000000</c:v>
                </c:pt>
                <c:pt idx="357">
                  <c:v>2900000000</c:v>
                </c:pt>
                <c:pt idx="358">
                  <c:v>2900000000</c:v>
                </c:pt>
                <c:pt idx="359">
                  <c:v>2900000000</c:v>
                </c:pt>
                <c:pt idx="360">
                  <c:v>2900000000</c:v>
                </c:pt>
                <c:pt idx="361">
                  <c:v>2900000000</c:v>
                </c:pt>
                <c:pt idx="362">
                  <c:v>2900000000</c:v>
                </c:pt>
                <c:pt idx="363">
                  <c:v>2900000000</c:v>
                </c:pt>
                <c:pt idx="364">
                  <c:v>2900000000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636-4237-8C5B-9F4BA35C1E9C}"/>
            </c:ext>
          </c:extLst>
        </c:ser>
        <c:ser>
          <c:idx val="9"/>
          <c:order val="9"/>
          <c:tx>
            <c:v>МКК</c:v>
          </c:tx>
          <c:spPr>
            <a:ln w="12700" cap="rnd">
              <a:solidFill>
                <a:schemeClr val="accent4">
                  <a:lumMod val="6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График!$D$2:$D$366</c:f>
              <c:numCache>
                <c:formatCode>m/d/yyyy</c:formatCode>
                <c:ptCount val="365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</c:numCache>
            </c:numRef>
          </c:xVal>
          <c:yVal>
            <c:numRef>
              <c:f>График!$G$2:$G$366</c:f>
              <c:numCache>
                <c:formatCode>General</c:formatCode>
                <c:ptCount val="365"/>
                <c:pt idx="0">
                  <c:v>2320000000</c:v>
                </c:pt>
                <c:pt idx="1">
                  <c:v>2320000000</c:v>
                </c:pt>
                <c:pt idx="2">
                  <c:v>2320000000</c:v>
                </c:pt>
                <c:pt idx="3">
                  <c:v>2320000000</c:v>
                </c:pt>
                <c:pt idx="4">
                  <c:v>2320000000</c:v>
                </c:pt>
                <c:pt idx="5">
                  <c:v>2320000000</c:v>
                </c:pt>
                <c:pt idx="6">
                  <c:v>2320000000</c:v>
                </c:pt>
                <c:pt idx="7">
                  <c:v>2320000000</c:v>
                </c:pt>
                <c:pt idx="8">
                  <c:v>2320000000</c:v>
                </c:pt>
                <c:pt idx="9">
                  <c:v>2320000000</c:v>
                </c:pt>
                <c:pt idx="10">
                  <c:v>2320000000</c:v>
                </c:pt>
                <c:pt idx="11">
                  <c:v>2320000000</c:v>
                </c:pt>
                <c:pt idx="12">
                  <c:v>2320000000</c:v>
                </c:pt>
                <c:pt idx="13">
                  <c:v>2320000000</c:v>
                </c:pt>
                <c:pt idx="14">
                  <c:v>2320000000</c:v>
                </c:pt>
                <c:pt idx="15">
                  <c:v>2320000000</c:v>
                </c:pt>
                <c:pt idx="16">
                  <c:v>2320000000</c:v>
                </c:pt>
                <c:pt idx="17">
                  <c:v>2320000000</c:v>
                </c:pt>
                <c:pt idx="18">
                  <c:v>2320000000</c:v>
                </c:pt>
                <c:pt idx="19">
                  <c:v>2320000000</c:v>
                </c:pt>
                <c:pt idx="20">
                  <c:v>2320000000</c:v>
                </c:pt>
                <c:pt idx="21">
                  <c:v>2320000000</c:v>
                </c:pt>
                <c:pt idx="22">
                  <c:v>2320000000</c:v>
                </c:pt>
                <c:pt idx="23">
                  <c:v>2320000000</c:v>
                </c:pt>
                <c:pt idx="24">
                  <c:v>2320000000</c:v>
                </c:pt>
                <c:pt idx="25">
                  <c:v>2320000000</c:v>
                </c:pt>
                <c:pt idx="26">
                  <c:v>2320000000</c:v>
                </c:pt>
                <c:pt idx="27">
                  <c:v>2320000000</c:v>
                </c:pt>
                <c:pt idx="28">
                  <c:v>2320000000</c:v>
                </c:pt>
                <c:pt idx="29">
                  <c:v>2320000000</c:v>
                </c:pt>
                <c:pt idx="30">
                  <c:v>2320000000</c:v>
                </c:pt>
                <c:pt idx="31">
                  <c:v>2320000000</c:v>
                </c:pt>
                <c:pt idx="32">
                  <c:v>2320000000</c:v>
                </c:pt>
                <c:pt idx="33">
                  <c:v>2320000000</c:v>
                </c:pt>
                <c:pt idx="34">
                  <c:v>2320000000</c:v>
                </c:pt>
                <c:pt idx="35">
                  <c:v>2320000000</c:v>
                </c:pt>
                <c:pt idx="36">
                  <c:v>2320000000</c:v>
                </c:pt>
                <c:pt idx="37">
                  <c:v>2320000000</c:v>
                </c:pt>
                <c:pt idx="38">
                  <c:v>2320000000</c:v>
                </c:pt>
                <c:pt idx="39">
                  <c:v>2320000000</c:v>
                </c:pt>
                <c:pt idx="40">
                  <c:v>2320000000</c:v>
                </c:pt>
                <c:pt idx="41">
                  <c:v>2320000000</c:v>
                </c:pt>
                <c:pt idx="42">
                  <c:v>2320000000</c:v>
                </c:pt>
                <c:pt idx="43">
                  <c:v>2320000000</c:v>
                </c:pt>
                <c:pt idx="44">
                  <c:v>2320000000</c:v>
                </c:pt>
                <c:pt idx="45">
                  <c:v>2320000000</c:v>
                </c:pt>
                <c:pt idx="46">
                  <c:v>2320000000</c:v>
                </c:pt>
                <c:pt idx="47">
                  <c:v>2320000000</c:v>
                </c:pt>
                <c:pt idx="48">
                  <c:v>2320000000</c:v>
                </c:pt>
                <c:pt idx="49">
                  <c:v>2320000000</c:v>
                </c:pt>
                <c:pt idx="50">
                  <c:v>2320000000</c:v>
                </c:pt>
                <c:pt idx="51">
                  <c:v>2320000000</c:v>
                </c:pt>
                <c:pt idx="52">
                  <c:v>2320000000</c:v>
                </c:pt>
                <c:pt idx="53">
                  <c:v>2320000000</c:v>
                </c:pt>
                <c:pt idx="54">
                  <c:v>2320000000</c:v>
                </c:pt>
                <c:pt idx="55">
                  <c:v>2320000000</c:v>
                </c:pt>
                <c:pt idx="56">
                  <c:v>2320000000</c:v>
                </c:pt>
                <c:pt idx="57">
                  <c:v>2320000000</c:v>
                </c:pt>
                <c:pt idx="58">
                  <c:v>2320000000</c:v>
                </c:pt>
                <c:pt idx="59">
                  <c:v>2320000000</c:v>
                </c:pt>
                <c:pt idx="60">
                  <c:v>2320000000</c:v>
                </c:pt>
                <c:pt idx="61">
                  <c:v>2320000000</c:v>
                </c:pt>
                <c:pt idx="62">
                  <c:v>2320000000</c:v>
                </c:pt>
                <c:pt idx="63">
                  <c:v>2320000000</c:v>
                </c:pt>
                <c:pt idx="64">
                  <c:v>2320000000</c:v>
                </c:pt>
                <c:pt idx="65">
                  <c:v>2320000000</c:v>
                </c:pt>
                <c:pt idx="66">
                  <c:v>2320000000</c:v>
                </c:pt>
                <c:pt idx="67">
                  <c:v>2320000000</c:v>
                </c:pt>
                <c:pt idx="68">
                  <c:v>2320000000</c:v>
                </c:pt>
                <c:pt idx="69">
                  <c:v>2320000000</c:v>
                </c:pt>
                <c:pt idx="70">
                  <c:v>2320000000</c:v>
                </c:pt>
                <c:pt idx="71">
                  <c:v>2320000000</c:v>
                </c:pt>
                <c:pt idx="72">
                  <c:v>2320000000</c:v>
                </c:pt>
                <c:pt idx="73">
                  <c:v>2320000000</c:v>
                </c:pt>
                <c:pt idx="74">
                  <c:v>2320000000</c:v>
                </c:pt>
                <c:pt idx="75">
                  <c:v>2320000000</c:v>
                </c:pt>
                <c:pt idx="76">
                  <c:v>2320000000</c:v>
                </c:pt>
                <c:pt idx="77">
                  <c:v>2320000000</c:v>
                </c:pt>
                <c:pt idx="78">
                  <c:v>2320000000</c:v>
                </c:pt>
                <c:pt idx="79">
                  <c:v>2320000000</c:v>
                </c:pt>
                <c:pt idx="80">
                  <c:v>2320000000</c:v>
                </c:pt>
                <c:pt idx="81">
                  <c:v>2320000000</c:v>
                </c:pt>
                <c:pt idx="82">
                  <c:v>2320000000</c:v>
                </c:pt>
                <c:pt idx="83">
                  <c:v>2320000000</c:v>
                </c:pt>
                <c:pt idx="84">
                  <c:v>2320000000</c:v>
                </c:pt>
                <c:pt idx="85">
                  <c:v>2320000000</c:v>
                </c:pt>
                <c:pt idx="86">
                  <c:v>2320000000</c:v>
                </c:pt>
                <c:pt idx="87">
                  <c:v>2320000000</c:v>
                </c:pt>
                <c:pt idx="88">
                  <c:v>2320000000</c:v>
                </c:pt>
                <c:pt idx="89">
                  <c:v>2320000000</c:v>
                </c:pt>
                <c:pt idx="90">
                  <c:v>2320000000</c:v>
                </c:pt>
                <c:pt idx="91">
                  <c:v>2320000000</c:v>
                </c:pt>
                <c:pt idx="92">
                  <c:v>2320000000</c:v>
                </c:pt>
                <c:pt idx="93">
                  <c:v>2320000000</c:v>
                </c:pt>
                <c:pt idx="94">
                  <c:v>2320000000</c:v>
                </c:pt>
                <c:pt idx="95">
                  <c:v>2320000000</c:v>
                </c:pt>
                <c:pt idx="96">
                  <c:v>2320000000</c:v>
                </c:pt>
                <c:pt idx="97">
                  <c:v>2320000000</c:v>
                </c:pt>
                <c:pt idx="98">
                  <c:v>2320000000</c:v>
                </c:pt>
                <c:pt idx="99">
                  <c:v>2320000000</c:v>
                </c:pt>
                <c:pt idx="100">
                  <c:v>2320000000</c:v>
                </c:pt>
                <c:pt idx="101">
                  <c:v>2320000000</c:v>
                </c:pt>
                <c:pt idx="102">
                  <c:v>2320000000</c:v>
                </c:pt>
                <c:pt idx="103">
                  <c:v>2320000000</c:v>
                </c:pt>
                <c:pt idx="104">
                  <c:v>2320000000</c:v>
                </c:pt>
                <c:pt idx="105">
                  <c:v>2320000000</c:v>
                </c:pt>
                <c:pt idx="106">
                  <c:v>2320000000</c:v>
                </c:pt>
                <c:pt idx="107">
                  <c:v>2320000000</c:v>
                </c:pt>
                <c:pt idx="108">
                  <c:v>2320000000</c:v>
                </c:pt>
                <c:pt idx="109">
                  <c:v>2320000000</c:v>
                </c:pt>
                <c:pt idx="110">
                  <c:v>2320000000</c:v>
                </c:pt>
                <c:pt idx="111">
                  <c:v>2320000000</c:v>
                </c:pt>
                <c:pt idx="112">
                  <c:v>2320000000</c:v>
                </c:pt>
                <c:pt idx="113">
                  <c:v>2320000000</c:v>
                </c:pt>
                <c:pt idx="114">
                  <c:v>2320000000</c:v>
                </c:pt>
                <c:pt idx="115">
                  <c:v>2320000000</c:v>
                </c:pt>
                <c:pt idx="116">
                  <c:v>2320000000</c:v>
                </c:pt>
                <c:pt idx="117">
                  <c:v>2320000000</c:v>
                </c:pt>
                <c:pt idx="118">
                  <c:v>2320000000</c:v>
                </c:pt>
                <c:pt idx="119">
                  <c:v>2320000000</c:v>
                </c:pt>
                <c:pt idx="120">
                  <c:v>2320000000</c:v>
                </c:pt>
                <c:pt idx="121">
                  <c:v>2320000000</c:v>
                </c:pt>
                <c:pt idx="122">
                  <c:v>2320000000</c:v>
                </c:pt>
                <c:pt idx="123">
                  <c:v>2320000000</c:v>
                </c:pt>
                <c:pt idx="124">
                  <c:v>2320000000</c:v>
                </c:pt>
                <c:pt idx="125">
                  <c:v>2320000000</c:v>
                </c:pt>
                <c:pt idx="126">
                  <c:v>2320000000</c:v>
                </c:pt>
                <c:pt idx="127">
                  <c:v>2320000000</c:v>
                </c:pt>
                <c:pt idx="128">
                  <c:v>2320000000</c:v>
                </c:pt>
                <c:pt idx="129">
                  <c:v>2320000000</c:v>
                </c:pt>
                <c:pt idx="130">
                  <c:v>2320000000</c:v>
                </c:pt>
                <c:pt idx="131">
                  <c:v>2320000000</c:v>
                </c:pt>
                <c:pt idx="132">
                  <c:v>2320000000</c:v>
                </c:pt>
                <c:pt idx="133">
                  <c:v>2320000000</c:v>
                </c:pt>
                <c:pt idx="134">
                  <c:v>2320000000</c:v>
                </c:pt>
                <c:pt idx="135">
                  <c:v>2320000000</c:v>
                </c:pt>
                <c:pt idx="136">
                  <c:v>2320000000</c:v>
                </c:pt>
                <c:pt idx="137">
                  <c:v>2320000000</c:v>
                </c:pt>
                <c:pt idx="138">
                  <c:v>2320000000</c:v>
                </c:pt>
                <c:pt idx="139">
                  <c:v>2320000000</c:v>
                </c:pt>
                <c:pt idx="140">
                  <c:v>2320000000</c:v>
                </c:pt>
                <c:pt idx="141">
                  <c:v>2320000000</c:v>
                </c:pt>
                <c:pt idx="142">
                  <c:v>2320000000</c:v>
                </c:pt>
                <c:pt idx="143">
                  <c:v>2320000000</c:v>
                </c:pt>
                <c:pt idx="144">
                  <c:v>2320000000</c:v>
                </c:pt>
                <c:pt idx="145">
                  <c:v>2320000000</c:v>
                </c:pt>
                <c:pt idx="146">
                  <c:v>2320000000</c:v>
                </c:pt>
                <c:pt idx="147">
                  <c:v>2320000000</c:v>
                </c:pt>
                <c:pt idx="148">
                  <c:v>2320000000</c:v>
                </c:pt>
                <c:pt idx="149">
                  <c:v>2320000000</c:v>
                </c:pt>
                <c:pt idx="150">
                  <c:v>2320000000</c:v>
                </c:pt>
                <c:pt idx="151">
                  <c:v>2320000000</c:v>
                </c:pt>
                <c:pt idx="152">
                  <c:v>2320000000</c:v>
                </c:pt>
                <c:pt idx="153">
                  <c:v>2320000000</c:v>
                </c:pt>
                <c:pt idx="154">
                  <c:v>2320000000</c:v>
                </c:pt>
                <c:pt idx="155">
                  <c:v>2320000000</c:v>
                </c:pt>
                <c:pt idx="156">
                  <c:v>2320000000</c:v>
                </c:pt>
                <c:pt idx="157">
                  <c:v>2320000000</c:v>
                </c:pt>
                <c:pt idx="158">
                  <c:v>2320000000</c:v>
                </c:pt>
                <c:pt idx="159">
                  <c:v>2320000000</c:v>
                </c:pt>
                <c:pt idx="160">
                  <c:v>2320000000</c:v>
                </c:pt>
                <c:pt idx="161">
                  <c:v>2320000000</c:v>
                </c:pt>
                <c:pt idx="162">
                  <c:v>2320000000</c:v>
                </c:pt>
                <c:pt idx="163">
                  <c:v>2320000000</c:v>
                </c:pt>
                <c:pt idx="164">
                  <c:v>2320000000</c:v>
                </c:pt>
                <c:pt idx="165">
                  <c:v>2320000000</c:v>
                </c:pt>
                <c:pt idx="166">
                  <c:v>2320000000</c:v>
                </c:pt>
                <c:pt idx="167">
                  <c:v>2320000000</c:v>
                </c:pt>
                <c:pt idx="168">
                  <c:v>2320000000</c:v>
                </c:pt>
                <c:pt idx="169">
                  <c:v>2320000000</c:v>
                </c:pt>
                <c:pt idx="170">
                  <c:v>2320000000</c:v>
                </c:pt>
                <c:pt idx="171">
                  <c:v>2320000000</c:v>
                </c:pt>
                <c:pt idx="172">
                  <c:v>2320000000</c:v>
                </c:pt>
                <c:pt idx="173">
                  <c:v>2320000000</c:v>
                </c:pt>
                <c:pt idx="174">
                  <c:v>2320000000</c:v>
                </c:pt>
                <c:pt idx="175">
                  <c:v>2320000000</c:v>
                </c:pt>
                <c:pt idx="176">
                  <c:v>2320000000</c:v>
                </c:pt>
                <c:pt idx="177">
                  <c:v>2320000000</c:v>
                </c:pt>
                <c:pt idx="178">
                  <c:v>2320000000</c:v>
                </c:pt>
                <c:pt idx="179">
                  <c:v>2320000000</c:v>
                </c:pt>
                <c:pt idx="180">
                  <c:v>2320000000</c:v>
                </c:pt>
                <c:pt idx="181">
                  <c:v>2320000000</c:v>
                </c:pt>
                <c:pt idx="182">
                  <c:v>2320000000</c:v>
                </c:pt>
                <c:pt idx="183">
                  <c:v>2320000000</c:v>
                </c:pt>
                <c:pt idx="184">
                  <c:v>2320000000</c:v>
                </c:pt>
                <c:pt idx="185">
                  <c:v>2320000000</c:v>
                </c:pt>
                <c:pt idx="186">
                  <c:v>2320000000</c:v>
                </c:pt>
                <c:pt idx="187">
                  <c:v>2320000000</c:v>
                </c:pt>
                <c:pt idx="188">
                  <c:v>2320000000</c:v>
                </c:pt>
                <c:pt idx="189">
                  <c:v>2320000000</c:v>
                </c:pt>
                <c:pt idx="190">
                  <c:v>2320000000</c:v>
                </c:pt>
                <c:pt idx="191">
                  <c:v>2320000000</c:v>
                </c:pt>
                <c:pt idx="192">
                  <c:v>2320000000</c:v>
                </c:pt>
                <c:pt idx="193">
                  <c:v>2320000000</c:v>
                </c:pt>
                <c:pt idx="194">
                  <c:v>2320000000</c:v>
                </c:pt>
                <c:pt idx="195">
                  <c:v>2320000000</c:v>
                </c:pt>
                <c:pt idx="196">
                  <c:v>2320000000</c:v>
                </c:pt>
                <c:pt idx="197">
                  <c:v>2320000000</c:v>
                </c:pt>
                <c:pt idx="198">
                  <c:v>2320000000</c:v>
                </c:pt>
                <c:pt idx="199">
                  <c:v>2320000000</c:v>
                </c:pt>
                <c:pt idx="200">
                  <c:v>2320000000</c:v>
                </c:pt>
                <c:pt idx="201">
                  <c:v>2320000000</c:v>
                </c:pt>
                <c:pt idx="202">
                  <c:v>2320000000</c:v>
                </c:pt>
                <c:pt idx="203">
                  <c:v>2320000000</c:v>
                </c:pt>
                <c:pt idx="204">
                  <c:v>2320000000</c:v>
                </c:pt>
                <c:pt idx="205">
                  <c:v>2320000000</c:v>
                </c:pt>
                <c:pt idx="206">
                  <c:v>2320000000</c:v>
                </c:pt>
                <c:pt idx="207">
                  <c:v>2320000000</c:v>
                </c:pt>
                <c:pt idx="208">
                  <c:v>2320000000</c:v>
                </c:pt>
                <c:pt idx="209">
                  <c:v>2320000000</c:v>
                </c:pt>
                <c:pt idx="210">
                  <c:v>2320000000</c:v>
                </c:pt>
                <c:pt idx="211">
                  <c:v>2320000000</c:v>
                </c:pt>
                <c:pt idx="212">
                  <c:v>2320000000</c:v>
                </c:pt>
                <c:pt idx="213">
                  <c:v>2320000000</c:v>
                </c:pt>
                <c:pt idx="214">
                  <c:v>2320000000</c:v>
                </c:pt>
                <c:pt idx="215">
                  <c:v>2320000000</c:v>
                </c:pt>
                <c:pt idx="216">
                  <c:v>2320000000</c:v>
                </c:pt>
                <c:pt idx="217">
                  <c:v>2320000000</c:v>
                </c:pt>
                <c:pt idx="218">
                  <c:v>2320000000</c:v>
                </c:pt>
                <c:pt idx="219">
                  <c:v>2320000000</c:v>
                </c:pt>
                <c:pt idx="220">
                  <c:v>2320000000</c:v>
                </c:pt>
                <c:pt idx="221">
                  <c:v>2320000000</c:v>
                </c:pt>
                <c:pt idx="222">
                  <c:v>2320000000</c:v>
                </c:pt>
                <c:pt idx="223">
                  <c:v>2320000000</c:v>
                </c:pt>
                <c:pt idx="224">
                  <c:v>2320000000</c:v>
                </c:pt>
                <c:pt idx="225">
                  <c:v>2320000000</c:v>
                </c:pt>
                <c:pt idx="226">
                  <c:v>2320000000</c:v>
                </c:pt>
                <c:pt idx="227">
                  <c:v>2320000000</c:v>
                </c:pt>
                <c:pt idx="228">
                  <c:v>2320000000</c:v>
                </c:pt>
                <c:pt idx="229">
                  <c:v>2320000000</c:v>
                </c:pt>
                <c:pt idx="230">
                  <c:v>2320000000</c:v>
                </c:pt>
                <c:pt idx="231">
                  <c:v>2320000000</c:v>
                </c:pt>
                <c:pt idx="232">
                  <c:v>2320000000</c:v>
                </c:pt>
                <c:pt idx="233">
                  <c:v>2320000000</c:v>
                </c:pt>
                <c:pt idx="234">
                  <c:v>2320000000</c:v>
                </c:pt>
                <c:pt idx="235">
                  <c:v>2320000000</c:v>
                </c:pt>
                <c:pt idx="236">
                  <c:v>2320000000</c:v>
                </c:pt>
                <c:pt idx="237">
                  <c:v>2320000000</c:v>
                </c:pt>
                <c:pt idx="238">
                  <c:v>2320000000</c:v>
                </c:pt>
                <c:pt idx="239">
                  <c:v>2320000000</c:v>
                </c:pt>
                <c:pt idx="240">
                  <c:v>2320000000</c:v>
                </c:pt>
                <c:pt idx="241">
                  <c:v>2320000000</c:v>
                </c:pt>
                <c:pt idx="242">
                  <c:v>2320000000</c:v>
                </c:pt>
                <c:pt idx="243">
                  <c:v>2320000000</c:v>
                </c:pt>
                <c:pt idx="244">
                  <c:v>2320000000</c:v>
                </c:pt>
                <c:pt idx="245">
                  <c:v>2320000000</c:v>
                </c:pt>
                <c:pt idx="246">
                  <c:v>2320000000</c:v>
                </c:pt>
                <c:pt idx="247">
                  <c:v>2320000000</c:v>
                </c:pt>
                <c:pt idx="248">
                  <c:v>2320000000</c:v>
                </c:pt>
                <c:pt idx="249">
                  <c:v>2320000000</c:v>
                </c:pt>
                <c:pt idx="250">
                  <c:v>2320000000</c:v>
                </c:pt>
                <c:pt idx="251">
                  <c:v>2320000000</c:v>
                </c:pt>
                <c:pt idx="252">
                  <c:v>2320000000</c:v>
                </c:pt>
                <c:pt idx="253">
                  <c:v>2320000000</c:v>
                </c:pt>
                <c:pt idx="254">
                  <c:v>2320000000</c:v>
                </c:pt>
                <c:pt idx="255">
                  <c:v>2320000000</c:v>
                </c:pt>
                <c:pt idx="256">
                  <c:v>2320000000</c:v>
                </c:pt>
                <c:pt idx="257">
                  <c:v>2320000000</c:v>
                </c:pt>
                <c:pt idx="258">
                  <c:v>2320000000</c:v>
                </c:pt>
                <c:pt idx="259">
                  <c:v>2320000000</c:v>
                </c:pt>
                <c:pt idx="260">
                  <c:v>2320000000</c:v>
                </c:pt>
                <c:pt idx="261">
                  <c:v>2320000000</c:v>
                </c:pt>
                <c:pt idx="262">
                  <c:v>2320000000</c:v>
                </c:pt>
                <c:pt idx="263">
                  <c:v>2320000000</c:v>
                </c:pt>
                <c:pt idx="264">
                  <c:v>2320000000</c:v>
                </c:pt>
                <c:pt idx="265">
                  <c:v>2320000000</c:v>
                </c:pt>
                <c:pt idx="266">
                  <c:v>2320000000</c:v>
                </c:pt>
                <c:pt idx="267">
                  <c:v>2320000000</c:v>
                </c:pt>
                <c:pt idx="268">
                  <c:v>2320000000</c:v>
                </c:pt>
                <c:pt idx="269">
                  <c:v>2320000000</c:v>
                </c:pt>
                <c:pt idx="270">
                  <c:v>2320000000</c:v>
                </c:pt>
                <c:pt idx="271">
                  <c:v>2320000000</c:v>
                </c:pt>
                <c:pt idx="272">
                  <c:v>2320000000</c:v>
                </c:pt>
                <c:pt idx="273">
                  <c:v>2320000000</c:v>
                </c:pt>
                <c:pt idx="274">
                  <c:v>2320000000</c:v>
                </c:pt>
                <c:pt idx="275">
                  <c:v>2320000000</c:v>
                </c:pt>
                <c:pt idx="276">
                  <c:v>2320000000</c:v>
                </c:pt>
                <c:pt idx="277">
                  <c:v>2320000000</c:v>
                </c:pt>
                <c:pt idx="278">
                  <c:v>2320000000</c:v>
                </c:pt>
                <c:pt idx="279">
                  <c:v>2320000000</c:v>
                </c:pt>
                <c:pt idx="280">
                  <c:v>2320000000</c:v>
                </c:pt>
                <c:pt idx="281">
                  <c:v>2320000000</c:v>
                </c:pt>
                <c:pt idx="282">
                  <c:v>2320000000</c:v>
                </c:pt>
                <c:pt idx="283">
                  <c:v>2320000000</c:v>
                </c:pt>
                <c:pt idx="284">
                  <c:v>2320000000</c:v>
                </c:pt>
                <c:pt idx="285">
                  <c:v>2320000000</c:v>
                </c:pt>
                <c:pt idx="286">
                  <c:v>2320000000</c:v>
                </c:pt>
                <c:pt idx="287">
                  <c:v>2320000000</c:v>
                </c:pt>
                <c:pt idx="288">
                  <c:v>2320000000</c:v>
                </c:pt>
                <c:pt idx="289">
                  <c:v>2320000000</c:v>
                </c:pt>
                <c:pt idx="290">
                  <c:v>2320000000</c:v>
                </c:pt>
                <c:pt idx="291">
                  <c:v>2320000000</c:v>
                </c:pt>
                <c:pt idx="292">
                  <c:v>2320000000</c:v>
                </c:pt>
                <c:pt idx="293">
                  <c:v>2320000000</c:v>
                </c:pt>
                <c:pt idx="294">
                  <c:v>2320000000</c:v>
                </c:pt>
                <c:pt idx="295">
                  <c:v>2320000000</c:v>
                </c:pt>
                <c:pt idx="296">
                  <c:v>2320000000</c:v>
                </c:pt>
                <c:pt idx="297">
                  <c:v>2320000000</c:v>
                </c:pt>
                <c:pt idx="298">
                  <c:v>2320000000</c:v>
                </c:pt>
                <c:pt idx="299">
                  <c:v>2320000000</c:v>
                </c:pt>
                <c:pt idx="300">
                  <c:v>2320000000</c:v>
                </c:pt>
                <c:pt idx="301">
                  <c:v>2320000000</c:v>
                </c:pt>
                <c:pt idx="302">
                  <c:v>2320000000</c:v>
                </c:pt>
                <c:pt idx="303">
                  <c:v>2320000000</c:v>
                </c:pt>
                <c:pt idx="304">
                  <c:v>2320000000</c:v>
                </c:pt>
                <c:pt idx="305">
                  <c:v>2320000000</c:v>
                </c:pt>
                <c:pt idx="306">
                  <c:v>2320000000</c:v>
                </c:pt>
                <c:pt idx="307">
                  <c:v>2320000000</c:v>
                </c:pt>
                <c:pt idx="308">
                  <c:v>2320000000</c:v>
                </c:pt>
                <c:pt idx="309">
                  <c:v>2320000000</c:v>
                </c:pt>
                <c:pt idx="310">
                  <c:v>2320000000</c:v>
                </c:pt>
                <c:pt idx="311">
                  <c:v>2320000000</c:v>
                </c:pt>
                <c:pt idx="312">
                  <c:v>2320000000</c:v>
                </c:pt>
                <c:pt idx="313">
                  <c:v>2320000000</c:v>
                </c:pt>
                <c:pt idx="314">
                  <c:v>2320000000</c:v>
                </c:pt>
                <c:pt idx="315">
                  <c:v>2320000000</c:v>
                </c:pt>
                <c:pt idx="316">
                  <c:v>2320000000</c:v>
                </c:pt>
                <c:pt idx="317">
                  <c:v>2320000000</c:v>
                </c:pt>
                <c:pt idx="318">
                  <c:v>2320000000</c:v>
                </c:pt>
                <c:pt idx="319">
                  <c:v>2320000000</c:v>
                </c:pt>
                <c:pt idx="320">
                  <c:v>2320000000</c:v>
                </c:pt>
                <c:pt idx="321">
                  <c:v>2320000000</c:v>
                </c:pt>
                <c:pt idx="322">
                  <c:v>2320000000</c:v>
                </c:pt>
                <c:pt idx="323">
                  <c:v>2320000000</c:v>
                </c:pt>
                <c:pt idx="324">
                  <c:v>2320000000</c:v>
                </c:pt>
                <c:pt idx="325">
                  <c:v>2320000000</c:v>
                </c:pt>
                <c:pt idx="326">
                  <c:v>2320000000</c:v>
                </c:pt>
                <c:pt idx="327">
                  <c:v>2320000000</c:v>
                </c:pt>
                <c:pt idx="328">
                  <c:v>2320000000</c:v>
                </c:pt>
                <c:pt idx="329">
                  <c:v>2320000000</c:v>
                </c:pt>
                <c:pt idx="330">
                  <c:v>2320000000</c:v>
                </c:pt>
                <c:pt idx="331">
                  <c:v>2320000000</c:v>
                </c:pt>
                <c:pt idx="332">
                  <c:v>2320000000</c:v>
                </c:pt>
                <c:pt idx="333">
                  <c:v>2320000000</c:v>
                </c:pt>
                <c:pt idx="334">
                  <c:v>2320000000</c:v>
                </c:pt>
                <c:pt idx="335">
                  <c:v>2320000000</c:v>
                </c:pt>
                <c:pt idx="336">
                  <c:v>2320000000</c:v>
                </c:pt>
                <c:pt idx="337">
                  <c:v>2320000000</c:v>
                </c:pt>
                <c:pt idx="338">
                  <c:v>2320000000</c:v>
                </c:pt>
                <c:pt idx="339">
                  <c:v>2320000000</c:v>
                </c:pt>
                <c:pt idx="340">
                  <c:v>2320000000</c:v>
                </c:pt>
                <c:pt idx="341">
                  <c:v>2320000000</c:v>
                </c:pt>
                <c:pt idx="342">
                  <c:v>2320000000</c:v>
                </c:pt>
                <c:pt idx="343">
                  <c:v>2320000000</c:v>
                </c:pt>
                <c:pt idx="344">
                  <c:v>2320000000</c:v>
                </c:pt>
                <c:pt idx="345">
                  <c:v>2320000000</c:v>
                </c:pt>
                <c:pt idx="346">
                  <c:v>2320000000</c:v>
                </c:pt>
                <c:pt idx="347">
                  <c:v>2320000000</c:v>
                </c:pt>
                <c:pt idx="348">
                  <c:v>2320000000</c:v>
                </c:pt>
                <c:pt idx="349">
                  <c:v>2320000000</c:v>
                </c:pt>
                <c:pt idx="350">
                  <c:v>2320000000</c:v>
                </c:pt>
                <c:pt idx="351">
                  <c:v>2320000000</c:v>
                </c:pt>
                <c:pt idx="352">
                  <c:v>2320000000</c:v>
                </c:pt>
                <c:pt idx="353">
                  <c:v>2320000000</c:v>
                </c:pt>
                <c:pt idx="354">
                  <c:v>2320000000</c:v>
                </c:pt>
                <c:pt idx="355">
                  <c:v>2320000000</c:v>
                </c:pt>
                <c:pt idx="356">
                  <c:v>2320000000</c:v>
                </c:pt>
                <c:pt idx="357">
                  <c:v>2320000000</c:v>
                </c:pt>
                <c:pt idx="358">
                  <c:v>2320000000</c:v>
                </c:pt>
                <c:pt idx="359">
                  <c:v>2320000000</c:v>
                </c:pt>
                <c:pt idx="360">
                  <c:v>2320000000</c:v>
                </c:pt>
                <c:pt idx="361">
                  <c:v>2320000000</c:v>
                </c:pt>
                <c:pt idx="362">
                  <c:v>2320000000</c:v>
                </c:pt>
                <c:pt idx="363">
                  <c:v>2320000000</c:v>
                </c:pt>
                <c:pt idx="364">
                  <c:v>2320000000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636-4237-8C5B-9F4BA35C1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73504"/>
        <c:axId val="89379744"/>
      </c:scatterChart>
      <c:dateAx>
        <c:axId val="89373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Дата</a:t>
                </a:r>
              </a:p>
            </c:rich>
          </c:tx>
          <c:layout>
            <c:manualLayout>
              <c:xMode val="edge"/>
              <c:yMode val="edge"/>
              <c:x val="0.48992707144730213"/>
              <c:y val="0.914011377852925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379744"/>
        <c:crosses val="autoZero"/>
        <c:auto val="1"/>
        <c:lblOffset val="100"/>
        <c:baseTimeUnit val="days"/>
      </c:dateAx>
      <c:valAx>
        <c:axId val="89379744"/>
        <c:scaling>
          <c:orientation val="minMax"/>
          <c:max val="300000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Объем, кубические метры</a:t>
                </a:r>
              </a:p>
            </c:rich>
          </c:tx>
          <c:layout>
            <c:manualLayout>
              <c:xMode val="edge"/>
              <c:yMode val="edge"/>
              <c:x val="2.4738478831650815E-2"/>
              <c:y val="0.338167458720796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37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70467778048218632"/>
          <c:y val="0.63934230441038165"/>
          <c:w val="0.24823714257035551"/>
          <c:h val="0.153507253056623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273048</xdr:colOff>
      <xdr:row>1</xdr:row>
      <xdr:rowOff>36737</xdr:rowOff>
    </xdr:from>
    <xdr:to>
      <xdr:col>27</xdr:col>
      <xdr:colOff>72571</xdr:colOff>
      <xdr:row>36</xdr:row>
      <xdr:rowOff>108857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3A15D30-E094-39AD-3B2F-E183478A15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0.13241</cdr:x>
      <cdr:y>0.17454</cdr:y>
    </cdr:from>
    <cdr:to>
      <cdr:x>0.25321</cdr:x>
      <cdr:y>0.25421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2F6E040-94E7-489C-37AA-C909E5FAB3B1}"/>
            </a:ext>
          </a:extLst>
        </cdr:cNvPr>
        <cdr:cNvSpPr txBox="1"/>
      </cdr:nvSpPr>
      <cdr:spPr>
        <a:xfrm xmlns:a="http://schemas.openxmlformats.org/drawingml/2006/main">
          <a:off x="1422005" y="1120896"/>
          <a:ext cx="1297400" cy="5117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600">
              <a:latin typeface="Times New Roman" panose="02020603050405020304" pitchFamily="18" charset="0"/>
              <a:cs typeface="Times New Roman" panose="02020603050405020304" pitchFamily="18" charset="0"/>
            </a:rPr>
            <a:t>ГКК (2900 млн.</a:t>
          </a:r>
          <a:r>
            <a:rPr lang="ru-RU" sz="1600" baseline="0">
              <a:latin typeface="Times New Roman" panose="02020603050405020304" pitchFamily="18" charset="0"/>
              <a:cs typeface="Times New Roman" panose="02020603050405020304" pitchFamily="18" charset="0"/>
            </a:rPr>
            <a:t> куб.м.)</a:t>
          </a:r>
          <a:endParaRPr lang="ru-RU" sz="16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0.13327</cdr:x>
      <cdr:y>0.30711</cdr:y>
    </cdr:from>
    <cdr:to>
      <cdr:x>0.22392</cdr:x>
      <cdr:y>0.36426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B8DDB53E-0987-9CF1-D4BD-60F59E04635C}"/>
            </a:ext>
          </a:extLst>
        </cdr:cNvPr>
        <cdr:cNvSpPr txBox="1"/>
      </cdr:nvSpPr>
      <cdr:spPr>
        <a:xfrm xmlns:a="http://schemas.openxmlformats.org/drawingml/2006/main">
          <a:off x="1431259" y="1972322"/>
          <a:ext cx="973604" cy="3670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600">
              <a:latin typeface="Times New Roman" panose="02020603050405020304" pitchFamily="18" charset="0"/>
              <a:cs typeface="Times New Roman" panose="02020603050405020304" pitchFamily="18" charset="0"/>
            </a:rPr>
            <a:t>МГК </a:t>
          </a:r>
          <a:r>
            <a:rPr lang="ru-RU" sz="160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(2200 млн.</a:t>
          </a:r>
          <a:r>
            <a:rPr lang="ru-RU" sz="160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куб.м.)</a:t>
          </a:r>
          <a:endParaRPr lang="ru-RU" sz="16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0.1948</cdr:x>
      <cdr:y>0.09177</cdr:y>
    </cdr:from>
    <cdr:to>
      <cdr:x>0.28546</cdr:x>
      <cdr:y>0.14892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B58BC805-259F-E8CC-38E9-C6AC1A9ACFC3}"/>
            </a:ext>
          </a:extLst>
        </cdr:cNvPr>
        <cdr:cNvSpPr txBox="1"/>
      </cdr:nvSpPr>
      <cdr:spPr>
        <a:xfrm xmlns:a="http://schemas.openxmlformats.org/drawingml/2006/main">
          <a:off x="1964872" y="495301"/>
          <a:ext cx="914393" cy="3084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600">
              <a:latin typeface="Times New Roman" panose="02020603050405020304" pitchFamily="18" charset="0"/>
              <a:cs typeface="Times New Roman" panose="02020603050405020304" pitchFamily="18" charset="0"/>
            </a:rPr>
            <a:t>1 квартал</a:t>
          </a:r>
        </a:p>
      </cdr:txBody>
    </cdr:sp>
  </cdr:relSizeAnchor>
  <cdr:relSizeAnchor xmlns:cdr="http://schemas.openxmlformats.org/drawingml/2006/chartDrawing">
    <cdr:from>
      <cdr:x>0.39986</cdr:x>
      <cdr:y>0.09513</cdr:y>
    </cdr:from>
    <cdr:to>
      <cdr:x>0.49051</cdr:x>
      <cdr:y>0.15228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16D245C8-C666-1467-1F43-5CD43CEE651C}"/>
            </a:ext>
          </a:extLst>
        </cdr:cNvPr>
        <cdr:cNvSpPr txBox="1"/>
      </cdr:nvSpPr>
      <cdr:spPr>
        <a:xfrm xmlns:a="http://schemas.openxmlformats.org/drawingml/2006/main">
          <a:off x="4033157" y="513443"/>
          <a:ext cx="914393" cy="3084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600">
              <a:latin typeface="Times New Roman" panose="02020603050405020304" pitchFamily="18" charset="0"/>
              <a:cs typeface="Times New Roman" panose="02020603050405020304" pitchFamily="18" charset="0"/>
            </a:rPr>
            <a:t>2 квартал</a:t>
          </a:r>
        </a:p>
      </cdr:txBody>
    </cdr:sp>
  </cdr:relSizeAnchor>
  <cdr:relSizeAnchor xmlns:cdr="http://schemas.openxmlformats.org/drawingml/2006/chartDrawing">
    <cdr:from>
      <cdr:x>0.59502</cdr:x>
      <cdr:y>0.09513</cdr:y>
    </cdr:from>
    <cdr:to>
      <cdr:x>0.68567</cdr:x>
      <cdr:y>0.15228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16D245C8-C666-1467-1F43-5CD43CEE651C}"/>
            </a:ext>
          </a:extLst>
        </cdr:cNvPr>
        <cdr:cNvSpPr txBox="1"/>
      </cdr:nvSpPr>
      <cdr:spPr>
        <a:xfrm xmlns:a="http://schemas.openxmlformats.org/drawingml/2006/main">
          <a:off x="6001657" y="513443"/>
          <a:ext cx="914393" cy="3084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600">
              <a:latin typeface="Times New Roman" panose="02020603050405020304" pitchFamily="18" charset="0"/>
              <a:cs typeface="Times New Roman" panose="02020603050405020304" pitchFamily="18" charset="0"/>
            </a:rPr>
            <a:t>3 квартал</a:t>
          </a:r>
        </a:p>
      </cdr:txBody>
    </cdr:sp>
  </cdr:relSizeAnchor>
  <cdr:relSizeAnchor xmlns:cdr="http://schemas.openxmlformats.org/drawingml/2006/chartDrawing">
    <cdr:from>
      <cdr:x>0.80097</cdr:x>
      <cdr:y>0.09177</cdr:y>
    </cdr:from>
    <cdr:to>
      <cdr:x>0.89163</cdr:x>
      <cdr:y>0.14892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16D245C8-C666-1467-1F43-5CD43CEE651C}"/>
            </a:ext>
          </a:extLst>
        </cdr:cNvPr>
        <cdr:cNvSpPr txBox="1"/>
      </cdr:nvSpPr>
      <cdr:spPr>
        <a:xfrm xmlns:a="http://schemas.openxmlformats.org/drawingml/2006/main">
          <a:off x="8079014" y="495300"/>
          <a:ext cx="914393" cy="3084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600">
              <a:latin typeface="Times New Roman" panose="02020603050405020304" pitchFamily="18" charset="0"/>
              <a:cs typeface="Times New Roman" panose="02020603050405020304" pitchFamily="18" charset="0"/>
            </a:rPr>
            <a:t>4 квартал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FD3D7-AB1D-4D50-A7CA-F5E140752A05}">
  <dimension ref="A1:L367"/>
  <sheetViews>
    <sheetView zoomScale="80" zoomScaleNormal="80" workbookViewId="0">
      <pane ySplit="1" topLeftCell="A2" activePane="bottomLeft" state="frozen"/>
      <selection pane="bottomLeft" activeCell="H359" sqref="H359"/>
    </sheetView>
  </sheetViews>
  <sheetFormatPr defaultRowHeight="14.4" x14ac:dyDescent="0.3"/>
  <cols>
    <col min="1" max="1" width="11.21875" bestFit="1" customWidth="1"/>
    <col min="2" max="2" width="9.21875" bestFit="1" customWidth="1"/>
    <col min="3" max="3" width="10.33203125" bestFit="1" customWidth="1"/>
    <col min="4" max="4" width="11.109375" bestFit="1" customWidth="1"/>
    <col min="5" max="7" width="12.6640625" bestFit="1" customWidth="1"/>
    <col min="8" max="8" width="20.109375" bestFit="1" customWidth="1"/>
    <col min="9" max="9" width="20.6640625" bestFit="1" customWidth="1"/>
    <col min="10" max="10" width="12.6640625" bestFit="1" customWidth="1"/>
    <col min="11" max="11" width="18.5546875" bestFit="1" customWidth="1"/>
    <col min="12" max="12" width="12.5546875" bestFit="1" customWidth="1"/>
  </cols>
  <sheetData>
    <row r="1" spans="1:12" x14ac:dyDescent="0.3">
      <c r="A1" s="6" t="s">
        <v>0</v>
      </c>
      <c r="B1" s="6" t="s">
        <v>5</v>
      </c>
      <c r="C1" s="6" t="s">
        <v>6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7</v>
      </c>
      <c r="I1" s="6" t="s">
        <v>8</v>
      </c>
      <c r="J1" s="6" t="s">
        <v>16</v>
      </c>
    </row>
    <row r="2" spans="1:12" x14ac:dyDescent="0.3">
      <c r="A2">
        <v>7500000</v>
      </c>
      <c r="B2" t="s">
        <v>1</v>
      </c>
      <c r="C2" s="2">
        <v>44927</v>
      </c>
      <c r="D2" s="5">
        <f>$L$8</f>
        <v>10400000</v>
      </c>
      <c r="H2" s="5">
        <f>IF((H3-$L$8)&gt;0,(H3-$L$8),0)</f>
        <v>2400000</v>
      </c>
      <c r="I2" s="5">
        <f>D2</f>
        <v>10400000</v>
      </c>
      <c r="J2" s="5">
        <f>$L$8+$L$9</f>
        <v>20000000</v>
      </c>
      <c r="K2" s="3" t="s">
        <v>10</v>
      </c>
      <c r="L2" s="4">
        <v>2900000000</v>
      </c>
    </row>
    <row r="3" spans="1:12" x14ac:dyDescent="0.3">
      <c r="A3">
        <f>A2+7500000</f>
        <v>15000000</v>
      </c>
      <c r="C3" s="2">
        <v>44928</v>
      </c>
      <c r="D3" s="5">
        <f>IF(($L$8+D2)&lt;($L$2-$L$4),$L$8+D2,$L$2-$L$7)</f>
        <v>20800000</v>
      </c>
      <c r="H3" s="5">
        <f t="shared" ref="H3:H66" si="0">IF((H4-$L$8)&gt;0,(H4-$L$8),0)</f>
        <v>12800000</v>
      </c>
      <c r="I3" s="5">
        <f t="shared" ref="I3:I66" si="1">D3</f>
        <v>20800000</v>
      </c>
      <c r="J3" s="5">
        <f>IF(($L$8+$L$9+J2)&lt;($L$2-$L$7),$L$8+$L$9+J2,$L$2-$L$7)</f>
        <v>40000000</v>
      </c>
      <c r="K3" s="3" t="s">
        <v>9</v>
      </c>
      <c r="L3" s="4">
        <v>2320000000</v>
      </c>
    </row>
    <row r="4" spans="1:12" x14ac:dyDescent="0.3">
      <c r="A4">
        <f t="shared" ref="A4:A67" si="2">A3+7500000</f>
        <v>22500000</v>
      </c>
      <c r="C4" s="2">
        <v>44929</v>
      </c>
      <c r="D4" s="5">
        <f t="shared" ref="D4:D67" si="3">IF(($L$8+D3)&lt;($L$2-$L$4),$L$8+D3,$L$2-$L$7)</f>
        <v>31200000</v>
      </c>
      <c r="H4" s="5">
        <f t="shared" si="0"/>
        <v>23200000</v>
      </c>
      <c r="I4" s="5">
        <f t="shared" si="1"/>
        <v>31200000</v>
      </c>
      <c r="J4" s="5">
        <f t="shared" ref="J4:J67" si="4">IF(($L$8+$L$9+J3)&lt;($L$2-$L$7),$L$8+$L$9+J3,$L$2-$L$7)</f>
        <v>60000000</v>
      </c>
      <c r="K4" s="3" t="s">
        <v>11</v>
      </c>
      <c r="L4" s="4">
        <v>928000000</v>
      </c>
    </row>
    <row r="5" spans="1:12" x14ac:dyDescent="0.3">
      <c r="A5">
        <f t="shared" si="2"/>
        <v>30000000</v>
      </c>
      <c r="C5" s="2">
        <v>44930</v>
      </c>
      <c r="D5" s="5">
        <f t="shared" si="3"/>
        <v>41600000</v>
      </c>
      <c r="H5" s="5">
        <f t="shared" si="0"/>
        <v>33600000</v>
      </c>
      <c r="I5" s="5">
        <f t="shared" si="1"/>
        <v>41600000</v>
      </c>
      <c r="J5" s="5">
        <f t="shared" si="4"/>
        <v>80000000</v>
      </c>
      <c r="K5" s="3" t="s">
        <v>12</v>
      </c>
      <c r="L5" s="4">
        <v>493000000</v>
      </c>
    </row>
    <row r="6" spans="1:12" x14ac:dyDescent="0.3">
      <c r="A6">
        <f t="shared" si="2"/>
        <v>37500000</v>
      </c>
      <c r="C6" s="2">
        <v>44931</v>
      </c>
      <c r="D6" s="5">
        <f t="shared" si="3"/>
        <v>52000000</v>
      </c>
      <c r="H6" s="5">
        <f t="shared" si="0"/>
        <v>44000000</v>
      </c>
      <c r="I6" s="5">
        <f t="shared" si="1"/>
        <v>52000000</v>
      </c>
      <c r="J6" s="5">
        <f t="shared" si="4"/>
        <v>100000000</v>
      </c>
      <c r="K6" s="3" t="s">
        <v>13</v>
      </c>
      <c r="L6" s="4">
        <v>493000000</v>
      </c>
    </row>
    <row r="7" spans="1:12" x14ac:dyDescent="0.3">
      <c r="A7">
        <f t="shared" si="2"/>
        <v>45000000</v>
      </c>
      <c r="C7" s="2">
        <v>44932</v>
      </c>
      <c r="D7" s="5">
        <f t="shared" si="3"/>
        <v>62400000</v>
      </c>
      <c r="H7" s="5">
        <f t="shared" si="0"/>
        <v>54400000</v>
      </c>
      <c r="I7" s="5">
        <f t="shared" si="1"/>
        <v>62400000</v>
      </c>
      <c r="J7" s="5">
        <f t="shared" si="4"/>
        <v>120000000</v>
      </c>
      <c r="K7" s="3" t="s">
        <v>14</v>
      </c>
      <c r="L7" s="4">
        <v>928000000</v>
      </c>
    </row>
    <row r="8" spans="1:12" x14ac:dyDescent="0.3">
      <c r="A8">
        <f t="shared" si="2"/>
        <v>52500000</v>
      </c>
      <c r="C8" s="2">
        <v>44933</v>
      </c>
      <c r="D8" s="5">
        <f t="shared" si="3"/>
        <v>72800000</v>
      </c>
      <c r="H8" s="5">
        <f t="shared" si="0"/>
        <v>64800000</v>
      </c>
      <c r="I8" s="5">
        <f t="shared" si="1"/>
        <v>72800000</v>
      </c>
      <c r="J8" s="5">
        <f t="shared" si="4"/>
        <v>140000000</v>
      </c>
      <c r="K8" s="3" t="s">
        <v>15</v>
      </c>
      <c r="L8" s="4">
        <v>10400000</v>
      </c>
    </row>
    <row r="9" spans="1:12" x14ac:dyDescent="0.3">
      <c r="A9">
        <f t="shared" si="2"/>
        <v>60000000</v>
      </c>
      <c r="C9" s="2">
        <v>44934</v>
      </c>
      <c r="D9" s="5">
        <f t="shared" si="3"/>
        <v>83200000</v>
      </c>
      <c r="H9" s="5">
        <f t="shared" si="0"/>
        <v>75200000</v>
      </c>
      <c r="I9" s="5">
        <f t="shared" si="1"/>
        <v>83200000</v>
      </c>
      <c r="J9" s="5">
        <f t="shared" si="4"/>
        <v>160000000</v>
      </c>
      <c r="K9" s="3" t="s">
        <v>16</v>
      </c>
      <c r="L9" s="4">
        <v>9600000</v>
      </c>
    </row>
    <row r="10" spans="1:12" x14ac:dyDescent="0.3">
      <c r="A10">
        <f t="shared" si="2"/>
        <v>67500000</v>
      </c>
      <c r="C10" s="2">
        <v>44935</v>
      </c>
      <c r="D10" s="5">
        <f t="shared" si="3"/>
        <v>93600000</v>
      </c>
      <c r="H10" s="5">
        <f t="shared" si="0"/>
        <v>85600000</v>
      </c>
      <c r="I10" s="5">
        <f t="shared" si="1"/>
        <v>93600000</v>
      </c>
      <c r="J10" s="5">
        <f t="shared" si="4"/>
        <v>180000000</v>
      </c>
    </row>
    <row r="11" spans="1:12" x14ac:dyDescent="0.3">
      <c r="A11">
        <f t="shared" si="2"/>
        <v>75000000</v>
      </c>
      <c r="C11" s="2">
        <v>44936</v>
      </c>
      <c r="D11" s="5">
        <f t="shared" si="3"/>
        <v>104000000</v>
      </c>
      <c r="H11" s="5">
        <f t="shared" si="0"/>
        <v>96000000</v>
      </c>
      <c r="I11" s="5">
        <f t="shared" si="1"/>
        <v>104000000</v>
      </c>
      <c r="J11" s="5">
        <f t="shared" si="4"/>
        <v>200000000</v>
      </c>
    </row>
    <row r="12" spans="1:12" x14ac:dyDescent="0.3">
      <c r="A12">
        <f t="shared" si="2"/>
        <v>82500000</v>
      </c>
      <c r="C12" s="2">
        <v>44937</v>
      </c>
      <c r="D12" s="5">
        <f t="shared" si="3"/>
        <v>114400000</v>
      </c>
      <c r="H12" s="5">
        <f t="shared" si="0"/>
        <v>106400000</v>
      </c>
      <c r="I12" s="5">
        <f t="shared" si="1"/>
        <v>114400000</v>
      </c>
      <c r="J12" s="5">
        <f t="shared" si="4"/>
        <v>220000000</v>
      </c>
    </row>
    <row r="13" spans="1:12" x14ac:dyDescent="0.3">
      <c r="A13">
        <f t="shared" si="2"/>
        <v>90000000</v>
      </c>
      <c r="C13" s="2">
        <v>44938</v>
      </c>
      <c r="D13" s="5">
        <f t="shared" si="3"/>
        <v>124800000</v>
      </c>
      <c r="H13" s="5">
        <f t="shared" si="0"/>
        <v>116800000</v>
      </c>
      <c r="I13" s="5">
        <f t="shared" si="1"/>
        <v>124800000</v>
      </c>
      <c r="J13" s="5">
        <f t="shared" si="4"/>
        <v>240000000</v>
      </c>
    </row>
    <row r="14" spans="1:12" x14ac:dyDescent="0.3">
      <c r="A14">
        <f t="shared" si="2"/>
        <v>97500000</v>
      </c>
      <c r="C14" s="2">
        <v>44939</v>
      </c>
      <c r="D14" s="5">
        <f t="shared" si="3"/>
        <v>135200000</v>
      </c>
      <c r="H14" s="5">
        <f t="shared" si="0"/>
        <v>127200000</v>
      </c>
      <c r="I14" s="5">
        <f t="shared" si="1"/>
        <v>135200000</v>
      </c>
      <c r="J14" s="5">
        <f t="shared" si="4"/>
        <v>260000000</v>
      </c>
    </row>
    <row r="15" spans="1:12" x14ac:dyDescent="0.3">
      <c r="A15">
        <f t="shared" si="2"/>
        <v>105000000</v>
      </c>
      <c r="C15" s="2">
        <v>44940</v>
      </c>
      <c r="D15" s="5">
        <f t="shared" si="3"/>
        <v>145600000</v>
      </c>
      <c r="H15" s="5">
        <f t="shared" si="0"/>
        <v>137600000</v>
      </c>
      <c r="I15" s="5">
        <f t="shared" si="1"/>
        <v>145600000</v>
      </c>
      <c r="J15" s="5">
        <f t="shared" si="4"/>
        <v>280000000</v>
      </c>
    </row>
    <row r="16" spans="1:12" x14ac:dyDescent="0.3">
      <c r="A16">
        <f t="shared" si="2"/>
        <v>112500000</v>
      </c>
      <c r="C16" s="2">
        <v>44941</v>
      </c>
      <c r="D16" s="5">
        <f t="shared" si="3"/>
        <v>156000000</v>
      </c>
      <c r="H16" s="5">
        <f t="shared" si="0"/>
        <v>148000000</v>
      </c>
      <c r="I16" s="5">
        <f t="shared" si="1"/>
        <v>156000000</v>
      </c>
      <c r="J16" s="5">
        <f t="shared" si="4"/>
        <v>300000000</v>
      </c>
    </row>
    <row r="17" spans="1:10" x14ac:dyDescent="0.3">
      <c r="A17">
        <f t="shared" si="2"/>
        <v>120000000</v>
      </c>
      <c r="C17" s="2">
        <v>44942</v>
      </c>
      <c r="D17" s="5">
        <f t="shared" si="3"/>
        <v>166400000</v>
      </c>
      <c r="H17" s="5">
        <f t="shared" si="0"/>
        <v>158400000</v>
      </c>
      <c r="I17" s="5">
        <f t="shared" si="1"/>
        <v>166400000</v>
      </c>
      <c r="J17" s="5">
        <f t="shared" si="4"/>
        <v>320000000</v>
      </c>
    </row>
    <row r="18" spans="1:10" x14ac:dyDescent="0.3">
      <c r="A18">
        <f t="shared" si="2"/>
        <v>127500000</v>
      </c>
      <c r="C18" s="2">
        <v>44943</v>
      </c>
      <c r="D18" s="5">
        <f t="shared" si="3"/>
        <v>176800000</v>
      </c>
      <c r="H18" s="5">
        <f t="shared" si="0"/>
        <v>168800000</v>
      </c>
      <c r="I18" s="5">
        <f t="shared" si="1"/>
        <v>176800000</v>
      </c>
      <c r="J18" s="5">
        <f t="shared" si="4"/>
        <v>340000000</v>
      </c>
    </row>
    <row r="19" spans="1:10" x14ac:dyDescent="0.3">
      <c r="A19">
        <f t="shared" si="2"/>
        <v>135000000</v>
      </c>
      <c r="C19" s="2">
        <v>44944</v>
      </c>
      <c r="D19" s="5">
        <f t="shared" si="3"/>
        <v>187200000</v>
      </c>
      <c r="H19" s="5">
        <f t="shared" si="0"/>
        <v>179200000</v>
      </c>
      <c r="I19" s="5">
        <f t="shared" si="1"/>
        <v>187200000</v>
      </c>
      <c r="J19" s="5">
        <f t="shared" si="4"/>
        <v>360000000</v>
      </c>
    </row>
    <row r="20" spans="1:10" x14ac:dyDescent="0.3">
      <c r="A20">
        <f t="shared" si="2"/>
        <v>142500000</v>
      </c>
      <c r="C20" s="2">
        <v>44945</v>
      </c>
      <c r="D20" s="5">
        <f t="shared" si="3"/>
        <v>197600000</v>
      </c>
      <c r="H20" s="5">
        <f t="shared" si="0"/>
        <v>189600000</v>
      </c>
      <c r="I20" s="5">
        <f t="shared" si="1"/>
        <v>197600000</v>
      </c>
      <c r="J20" s="5">
        <f t="shared" si="4"/>
        <v>380000000</v>
      </c>
    </row>
    <row r="21" spans="1:10" x14ac:dyDescent="0.3">
      <c r="A21">
        <f t="shared" si="2"/>
        <v>150000000</v>
      </c>
      <c r="C21" s="2">
        <v>44946</v>
      </c>
      <c r="D21" s="5">
        <f t="shared" si="3"/>
        <v>208000000</v>
      </c>
      <c r="H21" s="5">
        <f t="shared" si="0"/>
        <v>200000000</v>
      </c>
      <c r="I21" s="5">
        <f t="shared" si="1"/>
        <v>208000000</v>
      </c>
      <c r="J21" s="5">
        <f t="shared" si="4"/>
        <v>400000000</v>
      </c>
    </row>
    <row r="22" spans="1:10" x14ac:dyDescent="0.3">
      <c r="A22">
        <f t="shared" si="2"/>
        <v>157500000</v>
      </c>
      <c r="C22" s="2">
        <v>44947</v>
      </c>
      <c r="D22" s="5">
        <f t="shared" si="3"/>
        <v>218400000</v>
      </c>
      <c r="H22" s="5">
        <f t="shared" si="0"/>
        <v>210400000</v>
      </c>
      <c r="I22" s="5">
        <f t="shared" si="1"/>
        <v>218400000</v>
      </c>
      <c r="J22" s="5">
        <f t="shared" si="4"/>
        <v>420000000</v>
      </c>
    </row>
    <row r="23" spans="1:10" x14ac:dyDescent="0.3">
      <c r="A23">
        <f t="shared" si="2"/>
        <v>165000000</v>
      </c>
      <c r="C23" s="2">
        <v>44948</v>
      </c>
      <c r="D23" s="5">
        <f t="shared" si="3"/>
        <v>228800000</v>
      </c>
      <c r="H23" s="5">
        <f t="shared" si="0"/>
        <v>220800000</v>
      </c>
      <c r="I23" s="5">
        <f t="shared" si="1"/>
        <v>228800000</v>
      </c>
      <c r="J23" s="5">
        <f t="shared" si="4"/>
        <v>440000000</v>
      </c>
    </row>
    <row r="24" spans="1:10" x14ac:dyDescent="0.3">
      <c r="A24">
        <f t="shared" si="2"/>
        <v>172500000</v>
      </c>
      <c r="C24" s="2">
        <v>44949</v>
      </c>
      <c r="D24" s="5">
        <f t="shared" si="3"/>
        <v>239200000</v>
      </c>
      <c r="H24" s="5">
        <f t="shared" si="0"/>
        <v>231200000</v>
      </c>
      <c r="I24" s="5">
        <f t="shared" si="1"/>
        <v>239200000</v>
      </c>
      <c r="J24" s="5">
        <f t="shared" si="4"/>
        <v>460000000</v>
      </c>
    </row>
    <row r="25" spans="1:10" x14ac:dyDescent="0.3">
      <c r="A25">
        <f t="shared" si="2"/>
        <v>180000000</v>
      </c>
      <c r="C25" s="2">
        <v>44950</v>
      </c>
      <c r="D25" s="5">
        <f t="shared" si="3"/>
        <v>249600000</v>
      </c>
      <c r="H25" s="5">
        <f t="shared" si="0"/>
        <v>241600000</v>
      </c>
      <c r="I25" s="5">
        <f t="shared" si="1"/>
        <v>249600000</v>
      </c>
      <c r="J25" s="5">
        <f t="shared" si="4"/>
        <v>480000000</v>
      </c>
    </row>
    <row r="26" spans="1:10" x14ac:dyDescent="0.3">
      <c r="A26">
        <f t="shared" si="2"/>
        <v>187500000</v>
      </c>
      <c r="C26" s="2">
        <v>44951</v>
      </c>
      <c r="D26" s="5">
        <f t="shared" si="3"/>
        <v>260000000</v>
      </c>
      <c r="H26" s="5">
        <f t="shared" si="0"/>
        <v>252000000</v>
      </c>
      <c r="I26" s="5">
        <f t="shared" si="1"/>
        <v>260000000</v>
      </c>
      <c r="J26" s="5">
        <f t="shared" si="4"/>
        <v>500000000</v>
      </c>
    </row>
    <row r="27" spans="1:10" x14ac:dyDescent="0.3">
      <c r="A27">
        <f t="shared" si="2"/>
        <v>195000000</v>
      </c>
      <c r="C27" s="2">
        <v>44952</v>
      </c>
      <c r="D27" s="5">
        <f t="shared" si="3"/>
        <v>270400000</v>
      </c>
      <c r="H27" s="5">
        <f t="shared" si="0"/>
        <v>262400000</v>
      </c>
      <c r="I27" s="5">
        <f t="shared" si="1"/>
        <v>270400000</v>
      </c>
      <c r="J27" s="5">
        <f t="shared" si="4"/>
        <v>520000000</v>
      </c>
    </row>
    <row r="28" spans="1:10" x14ac:dyDescent="0.3">
      <c r="A28">
        <f t="shared" si="2"/>
        <v>202500000</v>
      </c>
      <c r="C28" s="2">
        <v>44953</v>
      </c>
      <c r="D28" s="5">
        <f t="shared" si="3"/>
        <v>280800000</v>
      </c>
      <c r="H28" s="5">
        <f t="shared" si="0"/>
        <v>272800000</v>
      </c>
      <c r="I28" s="5">
        <f t="shared" si="1"/>
        <v>280800000</v>
      </c>
      <c r="J28" s="5">
        <f t="shared" si="4"/>
        <v>540000000</v>
      </c>
    </row>
    <row r="29" spans="1:10" x14ac:dyDescent="0.3">
      <c r="A29">
        <f t="shared" si="2"/>
        <v>210000000</v>
      </c>
      <c r="C29" s="2">
        <v>44954</v>
      </c>
      <c r="D29" s="5">
        <f t="shared" si="3"/>
        <v>291200000</v>
      </c>
      <c r="H29" s="5">
        <f t="shared" si="0"/>
        <v>283200000</v>
      </c>
      <c r="I29" s="5">
        <f t="shared" si="1"/>
        <v>291200000</v>
      </c>
      <c r="J29" s="5">
        <f t="shared" si="4"/>
        <v>560000000</v>
      </c>
    </row>
    <row r="30" spans="1:10" x14ac:dyDescent="0.3">
      <c r="A30">
        <f t="shared" si="2"/>
        <v>217500000</v>
      </c>
      <c r="C30" s="2">
        <v>44955</v>
      </c>
      <c r="D30" s="5">
        <f t="shared" si="3"/>
        <v>301600000</v>
      </c>
      <c r="H30" s="5">
        <f t="shared" si="0"/>
        <v>293600000</v>
      </c>
      <c r="I30" s="5">
        <f t="shared" si="1"/>
        <v>301600000</v>
      </c>
      <c r="J30" s="5">
        <f t="shared" si="4"/>
        <v>580000000</v>
      </c>
    </row>
    <row r="31" spans="1:10" x14ac:dyDescent="0.3">
      <c r="A31">
        <f t="shared" si="2"/>
        <v>225000000</v>
      </c>
      <c r="C31" s="2">
        <v>44956</v>
      </c>
      <c r="D31" s="5">
        <f t="shared" si="3"/>
        <v>312000000</v>
      </c>
      <c r="H31" s="5">
        <f t="shared" si="0"/>
        <v>304000000</v>
      </c>
      <c r="I31" s="5">
        <f t="shared" si="1"/>
        <v>312000000</v>
      </c>
      <c r="J31" s="5">
        <f t="shared" si="4"/>
        <v>600000000</v>
      </c>
    </row>
    <row r="32" spans="1:10" x14ac:dyDescent="0.3">
      <c r="A32">
        <f t="shared" si="2"/>
        <v>232500000</v>
      </c>
      <c r="C32" s="2">
        <v>44957</v>
      </c>
      <c r="D32" s="5">
        <f t="shared" si="3"/>
        <v>322400000</v>
      </c>
      <c r="H32" s="5">
        <f t="shared" si="0"/>
        <v>314400000</v>
      </c>
      <c r="I32" s="5">
        <f t="shared" si="1"/>
        <v>322400000</v>
      </c>
      <c r="J32" s="5">
        <f t="shared" si="4"/>
        <v>620000000</v>
      </c>
    </row>
    <row r="33" spans="1:10" x14ac:dyDescent="0.3">
      <c r="A33">
        <f t="shared" si="2"/>
        <v>240000000</v>
      </c>
      <c r="C33" s="2">
        <v>44958</v>
      </c>
      <c r="D33" s="5">
        <f t="shared" si="3"/>
        <v>332800000</v>
      </c>
      <c r="H33" s="5">
        <f t="shared" si="0"/>
        <v>324800000</v>
      </c>
      <c r="I33" s="5">
        <f t="shared" si="1"/>
        <v>332800000</v>
      </c>
      <c r="J33" s="5">
        <f t="shared" si="4"/>
        <v>640000000</v>
      </c>
    </row>
    <row r="34" spans="1:10" x14ac:dyDescent="0.3">
      <c r="A34">
        <f t="shared" si="2"/>
        <v>247500000</v>
      </c>
      <c r="C34" s="2">
        <v>44959</v>
      </c>
      <c r="D34" s="5">
        <f t="shared" si="3"/>
        <v>343200000</v>
      </c>
      <c r="H34" s="5">
        <f t="shared" si="0"/>
        <v>335200000</v>
      </c>
      <c r="I34" s="5">
        <f t="shared" si="1"/>
        <v>343200000</v>
      </c>
      <c r="J34" s="5">
        <f t="shared" si="4"/>
        <v>660000000</v>
      </c>
    </row>
    <row r="35" spans="1:10" x14ac:dyDescent="0.3">
      <c r="A35">
        <f t="shared" si="2"/>
        <v>255000000</v>
      </c>
      <c r="C35" s="2">
        <v>44960</v>
      </c>
      <c r="D35" s="5">
        <f t="shared" si="3"/>
        <v>353600000</v>
      </c>
      <c r="H35" s="5">
        <f t="shared" si="0"/>
        <v>345600000</v>
      </c>
      <c r="I35" s="5">
        <f t="shared" si="1"/>
        <v>353600000</v>
      </c>
      <c r="J35" s="5">
        <f t="shared" si="4"/>
        <v>680000000</v>
      </c>
    </row>
    <row r="36" spans="1:10" x14ac:dyDescent="0.3">
      <c r="A36">
        <f t="shared" si="2"/>
        <v>262500000</v>
      </c>
      <c r="C36" s="2">
        <v>44961</v>
      </c>
      <c r="D36" s="5">
        <f t="shared" si="3"/>
        <v>364000000</v>
      </c>
      <c r="H36" s="5">
        <f t="shared" si="0"/>
        <v>356000000</v>
      </c>
      <c r="I36" s="5">
        <f t="shared" si="1"/>
        <v>364000000</v>
      </c>
      <c r="J36" s="5">
        <f t="shared" si="4"/>
        <v>700000000</v>
      </c>
    </row>
    <row r="37" spans="1:10" x14ac:dyDescent="0.3">
      <c r="A37">
        <f t="shared" si="2"/>
        <v>270000000</v>
      </c>
      <c r="C37" s="2">
        <v>44962</v>
      </c>
      <c r="D37" s="5">
        <f t="shared" si="3"/>
        <v>374400000</v>
      </c>
      <c r="H37" s="5">
        <f t="shared" si="0"/>
        <v>366400000</v>
      </c>
      <c r="I37" s="5">
        <f t="shared" si="1"/>
        <v>374400000</v>
      </c>
      <c r="J37" s="5">
        <f t="shared" si="4"/>
        <v>720000000</v>
      </c>
    </row>
    <row r="38" spans="1:10" x14ac:dyDescent="0.3">
      <c r="A38">
        <f t="shared" si="2"/>
        <v>277500000</v>
      </c>
      <c r="C38" s="2">
        <v>44963</v>
      </c>
      <c r="D38" s="5">
        <f t="shared" si="3"/>
        <v>384800000</v>
      </c>
      <c r="H38" s="5">
        <f t="shared" si="0"/>
        <v>376800000</v>
      </c>
      <c r="I38" s="5">
        <f t="shared" si="1"/>
        <v>384800000</v>
      </c>
      <c r="J38" s="5">
        <f t="shared" si="4"/>
        <v>740000000</v>
      </c>
    </row>
    <row r="39" spans="1:10" x14ac:dyDescent="0.3">
      <c r="A39">
        <f t="shared" si="2"/>
        <v>285000000</v>
      </c>
      <c r="C39" s="2">
        <v>44964</v>
      </c>
      <c r="D39" s="5">
        <f t="shared" si="3"/>
        <v>395200000</v>
      </c>
      <c r="H39" s="5">
        <f t="shared" si="0"/>
        <v>387200000</v>
      </c>
      <c r="I39" s="5">
        <f t="shared" si="1"/>
        <v>395200000</v>
      </c>
      <c r="J39" s="5">
        <f t="shared" si="4"/>
        <v>760000000</v>
      </c>
    </row>
    <row r="40" spans="1:10" x14ac:dyDescent="0.3">
      <c r="A40">
        <f t="shared" si="2"/>
        <v>292500000</v>
      </c>
      <c r="C40" s="2">
        <v>44965</v>
      </c>
      <c r="D40" s="5">
        <f t="shared" si="3"/>
        <v>405600000</v>
      </c>
      <c r="H40" s="5">
        <f t="shared" si="0"/>
        <v>397600000</v>
      </c>
      <c r="I40" s="5">
        <f t="shared" si="1"/>
        <v>405600000</v>
      </c>
      <c r="J40" s="5">
        <f t="shared" si="4"/>
        <v>780000000</v>
      </c>
    </row>
    <row r="41" spans="1:10" x14ac:dyDescent="0.3">
      <c r="A41">
        <f t="shared" si="2"/>
        <v>300000000</v>
      </c>
      <c r="C41" s="2">
        <v>44966</v>
      </c>
      <c r="D41" s="5">
        <f t="shared" si="3"/>
        <v>416000000</v>
      </c>
      <c r="H41" s="5">
        <f t="shared" si="0"/>
        <v>408000000</v>
      </c>
      <c r="I41" s="5">
        <f t="shared" si="1"/>
        <v>416000000</v>
      </c>
      <c r="J41" s="5">
        <f t="shared" si="4"/>
        <v>800000000</v>
      </c>
    </row>
    <row r="42" spans="1:10" x14ac:dyDescent="0.3">
      <c r="A42">
        <f t="shared" si="2"/>
        <v>307500000</v>
      </c>
      <c r="C42" s="2">
        <v>44967</v>
      </c>
      <c r="D42" s="5">
        <f t="shared" si="3"/>
        <v>426400000</v>
      </c>
      <c r="H42" s="5">
        <f t="shared" si="0"/>
        <v>418400000</v>
      </c>
      <c r="I42" s="5">
        <f t="shared" si="1"/>
        <v>426400000</v>
      </c>
      <c r="J42" s="5">
        <f t="shared" si="4"/>
        <v>820000000</v>
      </c>
    </row>
    <row r="43" spans="1:10" x14ac:dyDescent="0.3">
      <c r="A43">
        <f t="shared" si="2"/>
        <v>315000000</v>
      </c>
      <c r="C43" s="2">
        <v>44968</v>
      </c>
      <c r="D43" s="5">
        <f t="shared" si="3"/>
        <v>436800000</v>
      </c>
      <c r="H43" s="5">
        <f t="shared" si="0"/>
        <v>428800000</v>
      </c>
      <c r="I43" s="5">
        <f t="shared" si="1"/>
        <v>436800000</v>
      </c>
      <c r="J43" s="5">
        <f t="shared" si="4"/>
        <v>840000000</v>
      </c>
    </row>
    <row r="44" spans="1:10" x14ac:dyDescent="0.3">
      <c r="A44">
        <f t="shared" si="2"/>
        <v>322500000</v>
      </c>
      <c r="C44" s="2">
        <v>44969</v>
      </c>
      <c r="D44" s="5">
        <f t="shared" si="3"/>
        <v>447200000</v>
      </c>
      <c r="H44" s="5">
        <f t="shared" si="0"/>
        <v>439200000</v>
      </c>
      <c r="I44" s="5">
        <f t="shared" si="1"/>
        <v>447200000</v>
      </c>
      <c r="J44" s="5">
        <f t="shared" si="4"/>
        <v>860000000</v>
      </c>
    </row>
    <row r="45" spans="1:10" x14ac:dyDescent="0.3">
      <c r="A45">
        <f t="shared" si="2"/>
        <v>330000000</v>
      </c>
      <c r="C45" s="2">
        <v>44970</v>
      </c>
      <c r="D45" s="5">
        <f t="shared" si="3"/>
        <v>457600000</v>
      </c>
      <c r="H45" s="5">
        <f t="shared" si="0"/>
        <v>449600000</v>
      </c>
      <c r="I45" s="5">
        <f t="shared" si="1"/>
        <v>457600000</v>
      </c>
      <c r="J45" s="5">
        <f t="shared" si="4"/>
        <v>880000000</v>
      </c>
    </row>
    <row r="46" spans="1:10" x14ac:dyDescent="0.3">
      <c r="A46">
        <f t="shared" si="2"/>
        <v>337500000</v>
      </c>
      <c r="C46" s="2">
        <v>44971</v>
      </c>
      <c r="D46" s="5">
        <f t="shared" si="3"/>
        <v>468000000</v>
      </c>
      <c r="H46" s="5">
        <f t="shared" si="0"/>
        <v>460000000</v>
      </c>
      <c r="I46" s="5">
        <f t="shared" si="1"/>
        <v>468000000</v>
      </c>
      <c r="J46" s="5">
        <f t="shared" si="4"/>
        <v>900000000</v>
      </c>
    </row>
    <row r="47" spans="1:10" x14ac:dyDescent="0.3">
      <c r="A47">
        <f t="shared" si="2"/>
        <v>345000000</v>
      </c>
      <c r="C47" s="2">
        <v>44972</v>
      </c>
      <c r="D47" s="5">
        <f t="shared" si="3"/>
        <v>478400000</v>
      </c>
      <c r="H47" s="5">
        <f t="shared" si="0"/>
        <v>470400000</v>
      </c>
      <c r="I47" s="5">
        <f t="shared" si="1"/>
        <v>478400000</v>
      </c>
      <c r="J47" s="5">
        <f t="shared" si="4"/>
        <v>920000000</v>
      </c>
    </row>
    <row r="48" spans="1:10" x14ac:dyDescent="0.3">
      <c r="A48">
        <f t="shared" si="2"/>
        <v>352500000</v>
      </c>
      <c r="C48" s="2">
        <v>44973</v>
      </c>
      <c r="D48" s="5">
        <f t="shared" si="3"/>
        <v>488800000</v>
      </c>
      <c r="H48" s="5">
        <f t="shared" si="0"/>
        <v>480800000</v>
      </c>
      <c r="I48" s="5">
        <f t="shared" si="1"/>
        <v>488800000</v>
      </c>
      <c r="J48" s="5">
        <f t="shared" si="4"/>
        <v>940000000</v>
      </c>
    </row>
    <row r="49" spans="1:10" x14ac:dyDescent="0.3">
      <c r="A49">
        <f t="shared" si="2"/>
        <v>360000000</v>
      </c>
      <c r="C49" s="2">
        <v>44974</v>
      </c>
      <c r="D49" s="5">
        <f t="shared" si="3"/>
        <v>499200000</v>
      </c>
      <c r="H49" s="5">
        <f t="shared" si="0"/>
        <v>491200000</v>
      </c>
      <c r="I49" s="5">
        <f t="shared" si="1"/>
        <v>499200000</v>
      </c>
      <c r="J49" s="5">
        <f t="shared" si="4"/>
        <v>960000000</v>
      </c>
    </row>
    <row r="50" spans="1:10" x14ac:dyDescent="0.3">
      <c r="A50">
        <f t="shared" si="2"/>
        <v>367500000</v>
      </c>
      <c r="C50" s="2">
        <v>44975</v>
      </c>
      <c r="D50" s="5">
        <f t="shared" si="3"/>
        <v>509600000</v>
      </c>
      <c r="H50" s="5">
        <f t="shared" si="0"/>
        <v>501600000</v>
      </c>
      <c r="I50" s="5">
        <f t="shared" si="1"/>
        <v>509600000</v>
      </c>
      <c r="J50" s="5">
        <f t="shared" si="4"/>
        <v>980000000</v>
      </c>
    </row>
    <row r="51" spans="1:10" x14ac:dyDescent="0.3">
      <c r="A51">
        <f t="shared" si="2"/>
        <v>375000000</v>
      </c>
      <c r="C51" s="2">
        <v>44976</v>
      </c>
      <c r="D51" s="5">
        <f t="shared" si="3"/>
        <v>520000000</v>
      </c>
      <c r="H51" s="5">
        <f t="shared" si="0"/>
        <v>512000000</v>
      </c>
      <c r="I51" s="5">
        <f t="shared" si="1"/>
        <v>520000000</v>
      </c>
      <c r="J51" s="5">
        <f t="shared" si="4"/>
        <v>1000000000</v>
      </c>
    </row>
    <row r="52" spans="1:10" x14ac:dyDescent="0.3">
      <c r="A52">
        <f t="shared" si="2"/>
        <v>382500000</v>
      </c>
      <c r="C52" s="2">
        <v>44977</v>
      </c>
      <c r="D52" s="5">
        <f t="shared" si="3"/>
        <v>530400000</v>
      </c>
      <c r="H52" s="5">
        <f t="shared" si="0"/>
        <v>522400000</v>
      </c>
      <c r="I52" s="5">
        <f t="shared" si="1"/>
        <v>530400000</v>
      </c>
      <c r="J52" s="5">
        <f t="shared" si="4"/>
        <v>1020000000</v>
      </c>
    </row>
    <row r="53" spans="1:10" x14ac:dyDescent="0.3">
      <c r="A53">
        <f t="shared" si="2"/>
        <v>390000000</v>
      </c>
      <c r="C53" s="2">
        <v>44978</v>
      </c>
      <c r="D53" s="5">
        <f t="shared" si="3"/>
        <v>540800000</v>
      </c>
      <c r="H53" s="5">
        <f t="shared" si="0"/>
        <v>532800000</v>
      </c>
      <c r="I53" s="5">
        <f t="shared" si="1"/>
        <v>540800000</v>
      </c>
      <c r="J53" s="5">
        <f t="shared" si="4"/>
        <v>1040000000</v>
      </c>
    </row>
    <row r="54" spans="1:10" x14ac:dyDescent="0.3">
      <c r="A54">
        <f t="shared" si="2"/>
        <v>397500000</v>
      </c>
      <c r="C54" s="2">
        <v>44979</v>
      </c>
      <c r="D54" s="5">
        <f t="shared" si="3"/>
        <v>551200000</v>
      </c>
      <c r="H54" s="5">
        <f t="shared" si="0"/>
        <v>543200000</v>
      </c>
      <c r="I54" s="5">
        <f t="shared" si="1"/>
        <v>551200000</v>
      </c>
      <c r="J54" s="5">
        <f t="shared" si="4"/>
        <v>1060000000</v>
      </c>
    </row>
    <row r="55" spans="1:10" x14ac:dyDescent="0.3">
      <c r="A55">
        <f t="shared" si="2"/>
        <v>405000000</v>
      </c>
      <c r="C55" s="2">
        <v>44980</v>
      </c>
      <c r="D55" s="5">
        <f t="shared" si="3"/>
        <v>561600000</v>
      </c>
      <c r="H55" s="5">
        <f t="shared" si="0"/>
        <v>553600000</v>
      </c>
      <c r="I55" s="5">
        <f t="shared" si="1"/>
        <v>561600000</v>
      </c>
      <c r="J55" s="5">
        <f t="shared" si="4"/>
        <v>1080000000</v>
      </c>
    </row>
    <row r="56" spans="1:10" x14ac:dyDescent="0.3">
      <c r="A56">
        <f t="shared" si="2"/>
        <v>412500000</v>
      </c>
      <c r="C56" s="2">
        <v>44981</v>
      </c>
      <c r="D56" s="5">
        <f t="shared" si="3"/>
        <v>572000000</v>
      </c>
      <c r="H56" s="5">
        <f t="shared" si="0"/>
        <v>564000000</v>
      </c>
      <c r="I56" s="5">
        <f t="shared" si="1"/>
        <v>572000000</v>
      </c>
      <c r="J56" s="5">
        <f t="shared" si="4"/>
        <v>1100000000</v>
      </c>
    </row>
    <row r="57" spans="1:10" x14ac:dyDescent="0.3">
      <c r="A57">
        <f t="shared" si="2"/>
        <v>420000000</v>
      </c>
      <c r="C57" s="2">
        <v>44982</v>
      </c>
      <c r="D57" s="5">
        <f t="shared" si="3"/>
        <v>582400000</v>
      </c>
      <c r="H57" s="5">
        <f t="shared" si="0"/>
        <v>574400000</v>
      </c>
      <c r="I57" s="5">
        <f t="shared" si="1"/>
        <v>582400000</v>
      </c>
      <c r="J57" s="5">
        <f t="shared" si="4"/>
        <v>1120000000</v>
      </c>
    </row>
    <row r="58" spans="1:10" x14ac:dyDescent="0.3">
      <c r="A58">
        <f t="shared" si="2"/>
        <v>427500000</v>
      </c>
      <c r="C58" s="2">
        <v>44983</v>
      </c>
      <c r="D58" s="5">
        <f t="shared" si="3"/>
        <v>592800000</v>
      </c>
      <c r="H58" s="5">
        <f t="shared" si="0"/>
        <v>584800000</v>
      </c>
      <c r="I58" s="5">
        <f t="shared" si="1"/>
        <v>592800000</v>
      </c>
      <c r="J58" s="5">
        <f t="shared" si="4"/>
        <v>1140000000</v>
      </c>
    </row>
    <row r="59" spans="1:10" x14ac:dyDescent="0.3">
      <c r="A59">
        <f t="shared" si="2"/>
        <v>435000000</v>
      </c>
      <c r="C59" s="2">
        <v>44984</v>
      </c>
      <c r="D59" s="5">
        <f t="shared" si="3"/>
        <v>603200000</v>
      </c>
      <c r="H59" s="5">
        <f t="shared" si="0"/>
        <v>595200000</v>
      </c>
      <c r="I59" s="5">
        <f t="shared" si="1"/>
        <v>603200000</v>
      </c>
      <c r="J59" s="5">
        <f t="shared" si="4"/>
        <v>1160000000</v>
      </c>
    </row>
    <row r="60" spans="1:10" x14ac:dyDescent="0.3">
      <c r="A60">
        <f t="shared" si="2"/>
        <v>442500000</v>
      </c>
      <c r="C60" s="2">
        <v>44985</v>
      </c>
      <c r="D60" s="5">
        <f t="shared" si="3"/>
        <v>613600000</v>
      </c>
      <c r="H60" s="5">
        <f t="shared" si="0"/>
        <v>605600000</v>
      </c>
      <c r="I60" s="5">
        <f t="shared" si="1"/>
        <v>613600000</v>
      </c>
      <c r="J60" s="5">
        <f t="shared" si="4"/>
        <v>1180000000</v>
      </c>
    </row>
    <row r="61" spans="1:10" x14ac:dyDescent="0.3">
      <c r="A61">
        <f t="shared" si="2"/>
        <v>450000000</v>
      </c>
      <c r="C61" s="2">
        <v>44986</v>
      </c>
      <c r="D61" s="5">
        <f t="shared" si="3"/>
        <v>624000000</v>
      </c>
      <c r="H61" s="5">
        <f t="shared" si="0"/>
        <v>616000000</v>
      </c>
      <c r="I61" s="5">
        <f t="shared" si="1"/>
        <v>624000000</v>
      </c>
      <c r="J61" s="5">
        <f t="shared" si="4"/>
        <v>1200000000</v>
      </c>
    </row>
    <row r="62" spans="1:10" x14ac:dyDescent="0.3">
      <c r="A62">
        <f t="shared" si="2"/>
        <v>457500000</v>
      </c>
      <c r="C62" s="2">
        <v>44987</v>
      </c>
      <c r="D62" s="5">
        <f t="shared" si="3"/>
        <v>634400000</v>
      </c>
      <c r="H62" s="5">
        <f t="shared" si="0"/>
        <v>626400000</v>
      </c>
      <c r="I62" s="5">
        <f t="shared" si="1"/>
        <v>634400000</v>
      </c>
      <c r="J62" s="5">
        <f t="shared" si="4"/>
        <v>1220000000</v>
      </c>
    </row>
    <row r="63" spans="1:10" x14ac:dyDescent="0.3">
      <c r="A63">
        <f t="shared" si="2"/>
        <v>465000000</v>
      </c>
      <c r="C63" s="2">
        <v>44988</v>
      </c>
      <c r="D63" s="5">
        <f t="shared" si="3"/>
        <v>644800000</v>
      </c>
      <c r="H63" s="5">
        <f t="shared" si="0"/>
        <v>636800000</v>
      </c>
      <c r="I63" s="5">
        <f t="shared" si="1"/>
        <v>644800000</v>
      </c>
      <c r="J63" s="5">
        <f t="shared" si="4"/>
        <v>1240000000</v>
      </c>
    </row>
    <row r="64" spans="1:10" x14ac:dyDescent="0.3">
      <c r="A64">
        <f t="shared" si="2"/>
        <v>472500000</v>
      </c>
      <c r="C64" s="2">
        <v>44989</v>
      </c>
      <c r="D64" s="5">
        <f t="shared" si="3"/>
        <v>655200000</v>
      </c>
      <c r="H64" s="5">
        <f t="shared" si="0"/>
        <v>647200000</v>
      </c>
      <c r="I64" s="5">
        <f t="shared" si="1"/>
        <v>655200000</v>
      </c>
      <c r="J64" s="5">
        <f t="shared" si="4"/>
        <v>1260000000</v>
      </c>
    </row>
    <row r="65" spans="1:10" x14ac:dyDescent="0.3">
      <c r="A65">
        <f t="shared" si="2"/>
        <v>480000000</v>
      </c>
      <c r="C65" s="2">
        <v>44990</v>
      </c>
      <c r="D65" s="5">
        <f t="shared" si="3"/>
        <v>665600000</v>
      </c>
      <c r="H65" s="5">
        <f t="shared" si="0"/>
        <v>657600000</v>
      </c>
      <c r="I65" s="5">
        <f t="shared" si="1"/>
        <v>665600000</v>
      </c>
      <c r="J65" s="5">
        <f t="shared" si="4"/>
        <v>1280000000</v>
      </c>
    </row>
    <row r="66" spans="1:10" x14ac:dyDescent="0.3">
      <c r="A66">
        <f t="shared" si="2"/>
        <v>487500000</v>
      </c>
      <c r="C66" s="2">
        <v>44991</v>
      </c>
      <c r="D66" s="5">
        <f t="shared" si="3"/>
        <v>676000000</v>
      </c>
      <c r="H66" s="5">
        <f t="shared" si="0"/>
        <v>668000000</v>
      </c>
      <c r="I66" s="5">
        <f t="shared" si="1"/>
        <v>676000000</v>
      </c>
      <c r="J66" s="5">
        <f t="shared" si="4"/>
        <v>1300000000</v>
      </c>
    </row>
    <row r="67" spans="1:10" x14ac:dyDescent="0.3">
      <c r="A67">
        <f t="shared" si="2"/>
        <v>495000000</v>
      </c>
      <c r="C67" s="2">
        <v>44992</v>
      </c>
      <c r="D67" s="5">
        <f t="shared" si="3"/>
        <v>686400000</v>
      </c>
      <c r="H67" s="5">
        <f t="shared" ref="H67:H90" si="5">IF((H68-$L$8)&gt;0,(H68-$L$8),0)</f>
        <v>678400000</v>
      </c>
      <c r="I67" s="5">
        <f t="shared" ref="I67:I91" si="6">D67</f>
        <v>686400000</v>
      </c>
      <c r="J67" s="5">
        <f t="shared" si="4"/>
        <v>1320000000</v>
      </c>
    </row>
    <row r="68" spans="1:10" x14ac:dyDescent="0.3">
      <c r="A68">
        <f t="shared" ref="A68:A131" si="7">A67+7500000</f>
        <v>502500000</v>
      </c>
      <c r="C68" s="2">
        <v>44993</v>
      </c>
      <c r="D68" s="5">
        <f t="shared" ref="D68:D91" si="8">IF(($L$8+D67)&lt;($L$2-$L$4),$L$8+D67,$L$2-$L$7)</f>
        <v>696800000</v>
      </c>
      <c r="H68" s="5">
        <f t="shared" si="5"/>
        <v>688800000</v>
      </c>
      <c r="I68" s="5">
        <f t="shared" si="6"/>
        <v>696800000</v>
      </c>
      <c r="J68" s="5">
        <f t="shared" ref="J68:J91" si="9">IF(($L$8+$L$9+J67)&lt;($L$2-$L$7),$L$8+$L$9+J67,$L$2-$L$7)</f>
        <v>1340000000</v>
      </c>
    </row>
    <row r="69" spans="1:10" x14ac:dyDescent="0.3">
      <c r="A69">
        <f t="shared" si="7"/>
        <v>510000000</v>
      </c>
      <c r="C69" s="2">
        <v>44994</v>
      </c>
      <c r="D69" s="5">
        <f t="shared" si="8"/>
        <v>707200000</v>
      </c>
      <c r="H69" s="5">
        <f t="shared" si="5"/>
        <v>699200000</v>
      </c>
      <c r="I69" s="5">
        <f t="shared" si="6"/>
        <v>707200000</v>
      </c>
      <c r="J69" s="5">
        <f t="shared" si="9"/>
        <v>1360000000</v>
      </c>
    </row>
    <row r="70" spans="1:10" x14ac:dyDescent="0.3">
      <c r="A70">
        <f t="shared" si="7"/>
        <v>517500000</v>
      </c>
      <c r="C70" s="2">
        <v>44995</v>
      </c>
      <c r="D70" s="5">
        <f t="shared" si="8"/>
        <v>717600000</v>
      </c>
      <c r="H70" s="5">
        <f t="shared" si="5"/>
        <v>709600000</v>
      </c>
      <c r="I70" s="5">
        <f t="shared" si="6"/>
        <v>717600000</v>
      </c>
      <c r="J70" s="5">
        <f t="shared" si="9"/>
        <v>1380000000</v>
      </c>
    </row>
    <row r="71" spans="1:10" x14ac:dyDescent="0.3">
      <c r="A71">
        <f t="shared" si="7"/>
        <v>525000000</v>
      </c>
      <c r="C71" s="2">
        <v>44996</v>
      </c>
      <c r="D71" s="5">
        <f t="shared" si="8"/>
        <v>728000000</v>
      </c>
      <c r="H71" s="5">
        <f t="shared" si="5"/>
        <v>720000000</v>
      </c>
      <c r="I71" s="5">
        <f t="shared" si="6"/>
        <v>728000000</v>
      </c>
      <c r="J71" s="5">
        <f t="shared" si="9"/>
        <v>1400000000</v>
      </c>
    </row>
    <row r="72" spans="1:10" x14ac:dyDescent="0.3">
      <c r="A72">
        <f t="shared" si="7"/>
        <v>532500000</v>
      </c>
      <c r="C72" s="2">
        <v>44997</v>
      </c>
      <c r="D72" s="5">
        <f t="shared" si="8"/>
        <v>738400000</v>
      </c>
      <c r="H72" s="5">
        <f t="shared" si="5"/>
        <v>730400000</v>
      </c>
      <c r="I72" s="5">
        <f t="shared" si="6"/>
        <v>738400000</v>
      </c>
      <c r="J72" s="5">
        <f t="shared" si="9"/>
        <v>1420000000</v>
      </c>
    </row>
    <row r="73" spans="1:10" x14ac:dyDescent="0.3">
      <c r="A73">
        <f t="shared" si="7"/>
        <v>540000000</v>
      </c>
      <c r="C73" s="2">
        <v>44998</v>
      </c>
      <c r="D73" s="5">
        <f t="shared" si="8"/>
        <v>748800000</v>
      </c>
      <c r="H73" s="5">
        <f t="shared" si="5"/>
        <v>740800000</v>
      </c>
      <c r="I73" s="5">
        <f t="shared" si="6"/>
        <v>748800000</v>
      </c>
      <c r="J73" s="5">
        <f t="shared" si="9"/>
        <v>1440000000</v>
      </c>
    </row>
    <row r="74" spans="1:10" x14ac:dyDescent="0.3">
      <c r="A74">
        <f t="shared" si="7"/>
        <v>547500000</v>
      </c>
      <c r="C74" s="2">
        <v>44999</v>
      </c>
      <c r="D74" s="5">
        <f t="shared" si="8"/>
        <v>759200000</v>
      </c>
      <c r="H74" s="5">
        <f t="shared" si="5"/>
        <v>751200000</v>
      </c>
      <c r="I74" s="5">
        <f t="shared" si="6"/>
        <v>759200000</v>
      </c>
      <c r="J74" s="5">
        <f t="shared" si="9"/>
        <v>1460000000</v>
      </c>
    </row>
    <row r="75" spans="1:10" x14ac:dyDescent="0.3">
      <c r="A75">
        <f t="shared" si="7"/>
        <v>555000000</v>
      </c>
      <c r="C75" s="2">
        <v>45000</v>
      </c>
      <c r="D75" s="5">
        <f t="shared" si="8"/>
        <v>769600000</v>
      </c>
      <c r="H75" s="5">
        <f t="shared" si="5"/>
        <v>761600000</v>
      </c>
      <c r="I75" s="5">
        <f t="shared" si="6"/>
        <v>769600000</v>
      </c>
      <c r="J75" s="5">
        <f t="shared" si="9"/>
        <v>1480000000</v>
      </c>
    </row>
    <row r="76" spans="1:10" x14ac:dyDescent="0.3">
      <c r="A76">
        <f t="shared" si="7"/>
        <v>562500000</v>
      </c>
      <c r="C76" s="2">
        <v>45001</v>
      </c>
      <c r="D76" s="5">
        <f t="shared" si="8"/>
        <v>780000000</v>
      </c>
      <c r="H76" s="5">
        <f t="shared" si="5"/>
        <v>772000000</v>
      </c>
      <c r="I76" s="5">
        <f t="shared" si="6"/>
        <v>780000000</v>
      </c>
      <c r="J76" s="5">
        <f t="shared" si="9"/>
        <v>1500000000</v>
      </c>
    </row>
    <row r="77" spans="1:10" x14ac:dyDescent="0.3">
      <c r="A77">
        <f t="shared" si="7"/>
        <v>570000000</v>
      </c>
      <c r="C77" s="2">
        <v>45002</v>
      </c>
      <c r="D77" s="5">
        <f t="shared" si="8"/>
        <v>790400000</v>
      </c>
      <c r="H77" s="5">
        <f t="shared" si="5"/>
        <v>782400000</v>
      </c>
      <c r="I77" s="5">
        <f t="shared" si="6"/>
        <v>790400000</v>
      </c>
      <c r="J77" s="5">
        <f t="shared" si="9"/>
        <v>1520000000</v>
      </c>
    </row>
    <row r="78" spans="1:10" x14ac:dyDescent="0.3">
      <c r="A78">
        <f t="shared" si="7"/>
        <v>577500000</v>
      </c>
      <c r="C78" s="2">
        <v>45003</v>
      </c>
      <c r="D78" s="5">
        <f t="shared" si="8"/>
        <v>800800000</v>
      </c>
      <c r="H78" s="5">
        <f t="shared" si="5"/>
        <v>792800000</v>
      </c>
      <c r="I78" s="5">
        <f t="shared" si="6"/>
        <v>800800000</v>
      </c>
      <c r="J78" s="5">
        <f t="shared" si="9"/>
        <v>1540000000</v>
      </c>
    </row>
    <row r="79" spans="1:10" x14ac:dyDescent="0.3">
      <c r="A79">
        <f t="shared" si="7"/>
        <v>585000000</v>
      </c>
      <c r="C79" s="2">
        <v>45004</v>
      </c>
      <c r="D79" s="5">
        <f t="shared" si="8"/>
        <v>811200000</v>
      </c>
      <c r="H79" s="5">
        <f t="shared" si="5"/>
        <v>803200000</v>
      </c>
      <c r="I79" s="5">
        <f t="shared" si="6"/>
        <v>811200000</v>
      </c>
      <c r="J79" s="5">
        <f t="shared" si="9"/>
        <v>1560000000</v>
      </c>
    </row>
    <row r="80" spans="1:10" x14ac:dyDescent="0.3">
      <c r="A80">
        <f t="shared" si="7"/>
        <v>592500000</v>
      </c>
      <c r="C80" s="2">
        <v>45005</v>
      </c>
      <c r="D80" s="5">
        <f t="shared" si="8"/>
        <v>821600000</v>
      </c>
      <c r="H80" s="5">
        <f t="shared" si="5"/>
        <v>813600000</v>
      </c>
      <c r="I80" s="5">
        <f t="shared" si="6"/>
        <v>821600000</v>
      </c>
      <c r="J80" s="5">
        <f t="shared" si="9"/>
        <v>1580000000</v>
      </c>
    </row>
    <row r="81" spans="1:10" x14ac:dyDescent="0.3">
      <c r="A81">
        <f t="shared" si="7"/>
        <v>600000000</v>
      </c>
      <c r="C81" s="2">
        <v>45006</v>
      </c>
      <c r="D81" s="5">
        <f t="shared" si="8"/>
        <v>832000000</v>
      </c>
      <c r="H81" s="5">
        <f t="shared" si="5"/>
        <v>824000000</v>
      </c>
      <c r="I81" s="5">
        <f t="shared" si="6"/>
        <v>832000000</v>
      </c>
      <c r="J81" s="5">
        <f t="shared" si="9"/>
        <v>1600000000</v>
      </c>
    </row>
    <row r="82" spans="1:10" x14ac:dyDescent="0.3">
      <c r="A82">
        <f t="shared" si="7"/>
        <v>607500000</v>
      </c>
      <c r="C82" s="2">
        <v>45007</v>
      </c>
      <c r="D82" s="5">
        <f t="shared" si="8"/>
        <v>842400000</v>
      </c>
      <c r="H82" s="5">
        <f t="shared" si="5"/>
        <v>834400000</v>
      </c>
      <c r="I82" s="5">
        <f t="shared" si="6"/>
        <v>842400000</v>
      </c>
      <c r="J82" s="5">
        <f t="shared" si="9"/>
        <v>1620000000</v>
      </c>
    </row>
    <row r="83" spans="1:10" x14ac:dyDescent="0.3">
      <c r="A83">
        <f t="shared" si="7"/>
        <v>615000000</v>
      </c>
      <c r="C83" s="2">
        <v>45008</v>
      </c>
      <c r="D83" s="5">
        <f t="shared" si="8"/>
        <v>852800000</v>
      </c>
      <c r="H83" s="5">
        <f t="shared" si="5"/>
        <v>844800000</v>
      </c>
      <c r="I83" s="5">
        <f t="shared" si="6"/>
        <v>852800000</v>
      </c>
      <c r="J83" s="5">
        <f t="shared" si="9"/>
        <v>1640000000</v>
      </c>
    </row>
    <row r="84" spans="1:10" x14ac:dyDescent="0.3">
      <c r="A84">
        <f t="shared" si="7"/>
        <v>622500000</v>
      </c>
      <c r="C84" s="2">
        <v>45009</v>
      </c>
      <c r="D84" s="5">
        <f t="shared" si="8"/>
        <v>863200000</v>
      </c>
      <c r="H84" s="5">
        <f t="shared" si="5"/>
        <v>855200000</v>
      </c>
      <c r="I84" s="5">
        <f t="shared" si="6"/>
        <v>863200000</v>
      </c>
      <c r="J84" s="5">
        <f t="shared" si="9"/>
        <v>1660000000</v>
      </c>
    </row>
    <row r="85" spans="1:10" x14ac:dyDescent="0.3">
      <c r="A85">
        <f t="shared" si="7"/>
        <v>630000000</v>
      </c>
      <c r="C85" s="2">
        <v>45010</v>
      </c>
      <c r="D85" s="5">
        <f t="shared" si="8"/>
        <v>873600000</v>
      </c>
      <c r="H85" s="5">
        <f t="shared" si="5"/>
        <v>865600000</v>
      </c>
      <c r="I85" s="5">
        <f t="shared" si="6"/>
        <v>873600000</v>
      </c>
      <c r="J85" s="5">
        <f t="shared" si="9"/>
        <v>1680000000</v>
      </c>
    </row>
    <row r="86" spans="1:10" x14ac:dyDescent="0.3">
      <c r="A86">
        <f t="shared" si="7"/>
        <v>637500000</v>
      </c>
      <c r="C86" s="2">
        <v>45011</v>
      </c>
      <c r="D86" s="5">
        <f t="shared" si="8"/>
        <v>884000000</v>
      </c>
      <c r="H86" s="5">
        <f t="shared" si="5"/>
        <v>876000000</v>
      </c>
      <c r="I86" s="5">
        <f t="shared" si="6"/>
        <v>884000000</v>
      </c>
      <c r="J86" s="5">
        <f t="shared" si="9"/>
        <v>1700000000</v>
      </c>
    </row>
    <row r="87" spans="1:10" x14ac:dyDescent="0.3">
      <c r="A87">
        <f t="shared" si="7"/>
        <v>645000000</v>
      </c>
      <c r="C87" s="2">
        <v>45012</v>
      </c>
      <c r="D87" s="5">
        <f t="shared" si="8"/>
        <v>894400000</v>
      </c>
      <c r="H87" s="5">
        <f t="shared" si="5"/>
        <v>886400000</v>
      </c>
      <c r="I87" s="5">
        <f t="shared" si="6"/>
        <v>894400000</v>
      </c>
      <c r="J87" s="5">
        <f t="shared" si="9"/>
        <v>1720000000</v>
      </c>
    </row>
    <row r="88" spans="1:10" x14ac:dyDescent="0.3">
      <c r="A88">
        <f t="shared" si="7"/>
        <v>652500000</v>
      </c>
      <c r="C88" s="2">
        <v>45013</v>
      </c>
      <c r="D88" s="5">
        <f t="shared" si="8"/>
        <v>904800000</v>
      </c>
      <c r="H88" s="5">
        <f t="shared" si="5"/>
        <v>896800000</v>
      </c>
      <c r="I88" s="5">
        <f t="shared" si="6"/>
        <v>904800000</v>
      </c>
      <c r="J88" s="5">
        <f t="shared" si="9"/>
        <v>1740000000</v>
      </c>
    </row>
    <row r="89" spans="1:10" x14ac:dyDescent="0.3">
      <c r="A89">
        <f t="shared" si="7"/>
        <v>660000000</v>
      </c>
      <c r="C89" s="2">
        <v>45014</v>
      </c>
      <c r="D89" s="5">
        <f t="shared" si="8"/>
        <v>915200000</v>
      </c>
      <c r="H89" s="5">
        <f t="shared" si="5"/>
        <v>907200000</v>
      </c>
      <c r="I89" s="5">
        <f t="shared" si="6"/>
        <v>915200000</v>
      </c>
      <c r="J89" s="5">
        <f t="shared" si="9"/>
        <v>1760000000</v>
      </c>
    </row>
    <row r="90" spans="1:10" x14ac:dyDescent="0.3">
      <c r="A90">
        <f t="shared" si="7"/>
        <v>667500000</v>
      </c>
      <c r="C90" s="2">
        <v>45015</v>
      </c>
      <c r="D90" s="5">
        <f t="shared" si="8"/>
        <v>925600000</v>
      </c>
      <c r="H90" s="5">
        <f t="shared" si="5"/>
        <v>917600000</v>
      </c>
      <c r="I90" s="5">
        <f t="shared" si="6"/>
        <v>925600000</v>
      </c>
      <c r="J90" s="5">
        <f t="shared" si="9"/>
        <v>1780000000</v>
      </c>
    </row>
    <row r="91" spans="1:10" x14ac:dyDescent="0.3">
      <c r="A91">
        <f t="shared" si="7"/>
        <v>675000000</v>
      </c>
      <c r="C91" s="2">
        <v>45016</v>
      </c>
      <c r="D91" s="5">
        <f t="shared" si="8"/>
        <v>936000000</v>
      </c>
      <c r="H91" s="5">
        <f>L7</f>
        <v>928000000</v>
      </c>
      <c r="I91" s="5">
        <f t="shared" si="6"/>
        <v>936000000</v>
      </c>
      <c r="J91" s="5">
        <f t="shared" si="9"/>
        <v>1800000000</v>
      </c>
    </row>
    <row r="92" spans="1:10" x14ac:dyDescent="0.3">
      <c r="A92">
        <f t="shared" si="7"/>
        <v>682500000</v>
      </c>
      <c r="B92" t="s">
        <v>2</v>
      </c>
      <c r="C92" s="1">
        <v>45017</v>
      </c>
      <c r="E92" s="5">
        <f>D91+$L$8</f>
        <v>946400000</v>
      </c>
      <c r="H92" s="5">
        <f t="shared" ref="H92:H123" si="10">$L$7</f>
        <v>928000000</v>
      </c>
      <c r="I92" s="5">
        <f>E92</f>
        <v>946400000</v>
      </c>
      <c r="J92" s="5">
        <f>J91+$L$8+$L$9</f>
        <v>1820000000</v>
      </c>
    </row>
    <row r="93" spans="1:10" x14ac:dyDescent="0.3">
      <c r="A93">
        <f t="shared" si="7"/>
        <v>690000000</v>
      </c>
      <c r="C93" s="1">
        <v>45018</v>
      </c>
      <c r="E93" s="5">
        <f t="shared" ref="E93:E124" si="11">MIN(IF((E92+$L$8)&lt;($E$92+$L$5),E92+$L$8,$E$92+$L$5),$L$2-$L$4)</f>
        <v>956800000</v>
      </c>
      <c r="H93" s="5">
        <f t="shared" si="10"/>
        <v>928000000</v>
      </c>
      <c r="I93" s="5">
        <f t="shared" ref="I93:I156" si="12">E93</f>
        <v>956800000</v>
      </c>
      <c r="J93" s="5">
        <f t="shared" ref="J93:J124" si="13">MIN(IF((J92+$L$8+$L$9)&lt;($J$92+$L$5),J92+$L$9+$L$8,$J$92+$L$5),$L$2-$L$4)</f>
        <v>1840000000</v>
      </c>
    </row>
    <row r="94" spans="1:10" x14ac:dyDescent="0.3">
      <c r="A94">
        <f t="shared" si="7"/>
        <v>697500000</v>
      </c>
      <c r="C94" s="1">
        <v>45019</v>
      </c>
      <c r="E94" s="5">
        <f t="shared" si="11"/>
        <v>967200000</v>
      </c>
      <c r="H94" s="5">
        <f t="shared" si="10"/>
        <v>928000000</v>
      </c>
      <c r="I94" s="5">
        <f t="shared" si="12"/>
        <v>967200000</v>
      </c>
      <c r="J94" s="5">
        <f t="shared" si="13"/>
        <v>1860000000</v>
      </c>
    </row>
    <row r="95" spans="1:10" x14ac:dyDescent="0.3">
      <c r="A95">
        <f t="shared" si="7"/>
        <v>705000000</v>
      </c>
      <c r="C95" s="1">
        <v>45020</v>
      </c>
      <c r="E95" s="5">
        <f t="shared" si="11"/>
        <v>977600000</v>
      </c>
      <c r="H95" s="5">
        <f t="shared" si="10"/>
        <v>928000000</v>
      </c>
      <c r="I95" s="5">
        <f t="shared" si="12"/>
        <v>977600000</v>
      </c>
      <c r="J95" s="5">
        <f t="shared" si="13"/>
        <v>1880000000</v>
      </c>
    </row>
    <row r="96" spans="1:10" x14ac:dyDescent="0.3">
      <c r="A96">
        <f t="shared" si="7"/>
        <v>712500000</v>
      </c>
      <c r="C96" s="1">
        <v>45021</v>
      </c>
      <c r="E96" s="5">
        <f t="shared" si="11"/>
        <v>988000000</v>
      </c>
      <c r="H96" s="5">
        <f t="shared" si="10"/>
        <v>928000000</v>
      </c>
      <c r="I96" s="5">
        <f t="shared" si="12"/>
        <v>988000000</v>
      </c>
      <c r="J96" s="5">
        <f t="shared" si="13"/>
        <v>1900000000</v>
      </c>
    </row>
    <row r="97" spans="1:10" x14ac:dyDescent="0.3">
      <c r="A97">
        <f t="shared" si="7"/>
        <v>720000000</v>
      </c>
      <c r="C97" s="1">
        <v>45022</v>
      </c>
      <c r="E97" s="5">
        <f t="shared" si="11"/>
        <v>998400000</v>
      </c>
      <c r="H97" s="5">
        <f t="shared" si="10"/>
        <v>928000000</v>
      </c>
      <c r="I97" s="5">
        <f t="shared" si="12"/>
        <v>998400000</v>
      </c>
      <c r="J97" s="5">
        <f t="shared" si="13"/>
        <v>1920000000</v>
      </c>
    </row>
    <row r="98" spans="1:10" x14ac:dyDescent="0.3">
      <c r="A98">
        <f t="shared" si="7"/>
        <v>727500000</v>
      </c>
      <c r="C98" s="1">
        <v>45023</v>
      </c>
      <c r="E98" s="5">
        <f t="shared" si="11"/>
        <v>1008800000</v>
      </c>
      <c r="H98" s="5">
        <f t="shared" si="10"/>
        <v>928000000</v>
      </c>
      <c r="I98" s="5">
        <f t="shared" si="12"/>
        <v>1008800000</v>
      </c>
      <c r="J98" s="5">
        <f t="shared" si="13"/>
        <v>1940000000</v>
      </c>
    </row>
    <row r="99" spans="1:10" x14ac:dyDescent="0.3">
      <c r="A99">
        <f t="shared" si="7"/>
        <v>735000000</v>
      </c>
      <c r="C99" s="1">
        <v>45024</v>
      </c>
      <c r="E99" s="5">
        <f t="shared" si="11"/>
        <v>1019200000</v>
      </c>
      <c r="H99" s="5">
        <f t="shared" si="10"/>
        <v>928000000</v>
      </c>
      <c r="I99" s="5">
        <f t="shared" si="12"/>
        <v>1019200000</v>
      </c>
      <c r="J99" s="5">
        <f t="shared" si="13"/>
        <v>1960000000</v>
      </c>
    </row>
    <row r="100" spans="1:10" x14ac:dyDescent="0.3">
      <c r="A100">
        <f t="shared" si="7"/>
        <v>742500000</v>
      </c>
      <c r="C100" s="1">
        <v>45025</v>
      </c>
      <c r="E100" s="5">
        <f t="shared" si="11"/>
        <v>1029600000</v>
      </c>
      <c r="H100" s="5">
        <f t="shared" si="10"/>
        <v>928000000</v>
      </c>
      <c r="I100" s="5">
        <f t="shared" si="12"/>
        <v>1029600000</v>
      </c>
      <c r="J100" s="5">
        <f t="shared" si="13"/>
        <v>1972000000</v>
      </c>
    </row>
    <row r="101" spans="1:10" x14ac:dyDescent="0.3">
      <c r="A101">
        <f t="shared" si="7"/>
        <v>750000000</v>
      </c>
      <c r="C101" s="1">
        <v>45026</v>
      </c>
      <c r="E101" s="5">
        <f t="shared" si="11"/>
        <v>1040000000</v>
      </c>
      <c r="H101" s="5">
        <f t="shared" si="10"/>
        <v>928000000</v>
      </c>
      <c r="I101" s="5">
        <f t="shared" si="12"/>
        <v>1040000000</v>
      </c>
      <c r="J101" s="5">
        <f t="shared" si="13"/>
        <v>1972000000</v>
      </c>
    </row>
    <row r="102" spans="1:10" x14ac:dyDescent="0.3">
      <c r="A102">
        <f t="shared" si="7"/>
        <v>757500000</v>
      </c>
      <c r="C102" s="1">
        <v>45027</v>
      </c>
      <c r="E102" s="5">
        <f t="shared" si="11"/>
        <v>1050400000</v>
      </c>
      <c r="H102" s="5">
        <f t="shared" si="10"/>
        <v>928000000</v>
      </c>
      <c r="I102" s="5">
        <f t="shared" si="12"/>
        <v>1050400000</v>
      </c>
      <c r="J102" s="5">
        <f t="shared" si="13"/>
        <v>1972000000</v>
      </c>
    </row>
    <row r="103" spans="1:10" x14ac:dyDescent="0.3">
      <c r="A103">
        <f t="shared" si="7"/>
        <v>765000000</v>
      </c>
      <c r="C103" s="1">
        <v>45028</v>
      </c>
      <c r="E103" s="5">
        <f t="shared" si="11"/>
        <v>1060800000</v>
      </c>
      <c r="H103" s="5">
        <f t="shared" si="10"/>
        <v>928000000</v>
      </c>
      <c r="I103" s="5">
        <f t="shared" si="12"/>
        <v>1060800000</v>
      </c>
      <c r="J103" s="5">
        <f t="shared" si="13"/>
        <v>1972000000</v>
      </c>
    </row>
    <row r="104" spans="1:10" x14ac:dyDescent="0.3">
      <c r="A104">
        <f t="shared" si="7"/>
        <v>772500000</v>
      </c>
      <c r="C104" s="1">
        <v>45029</v>
      </c>
      <c r="E104" s="5">
        <f t="shared" si="11"/>
        <v>1071200000</v>
      </c>
      <c r="H104" s="5">
        <f t="shared" si="10"/>
        <v>928000000</v>
      </c>
      <c r="I104" s="5">
        <f t="shared" si="12"/>
        <v>1071200000</v>
      </c>
      <c r="J104" s="5">
        <f t="shared" si="13"/>
        <v>1972000000</v>
      </c>
    </row>
    <row r="105" spans="1:10" x14ac:dyDescent="0.3">
      <c r="A105">
        <f t="shared" si="7"/>
        <v>780000000</v>
      </c>
      <c r="C105" s="1">
        <v>45030</v>
      </c>
      <c r="E105" s="5">
        <f t="shared" si="11"/>
        <v>1081600000</v>
      </c>
      <c r="H105" s="5">
        <f t="shared" si="10"/>
        <v>928000000</v>
      </c>
      <c r="I105" s="5">
        <f t="shared" si="12"/>
        <v>1081600000</v>
      </c>
      <c r="J105" s="5">
        <f t="shared" si="13"/>
        <v>1972000000</v>
      </c>
    </row>
    <row r="106" spans="1:10" x14ac:dyDescent="0.3">
      <c r="A106">
        <f t="shared" si="7"/>
        <v>787500000</v>
      </c>
      <c r="C106" s="1">
        <v>45031</v>
      </c>
      <c r="E106" s="5">
        <f t="shared" si="11"/>
        <v>1092000000</v>
      </c>
      <c r="H106" s="5">
        <f t="shared" si="10"/>
        <v>928000000</v>
      </c>
      <c r="I106" s="5">
        <f t="shared" si="12"/>
        <v>1092000000</v>
      </c>
      <c r="J106" s="5">
        <f t="shared" si="13"/>
        <v>1972000000</v>
      </c>
    </row>
    <row r="107" spans="1:10" x14ac:dyDescent="0.3">
      <c r="A107">
        <f t="shared" si="7"/>
        <v>795000000</v>
      </c>
      <c r="C107" s="1">
        <v>45032</v>
      </c>
      <c r="E107" s="5">
        <f t="shared" si="11"/>
        <v>1102400000</v>
      </c>
      <c r="H107" s="5">
        <f t="shared" si="10"/>
        <v>928000000</v>
      </c>
      <c r="I107" s="5">
        <f t="shared" si="12"/>
        <v>1102400000</v>
      </c>
      <c r="J107" s="5">
        <f t="shared" si="13"/>
        <v>1972000000</v>
      </c>
    </row>
    <row r="108" spans="1:10" x14ac:dyDescent="0.3">
      <c r="A108">
        <f t="shared" si="7"/>
        <v>802500000</v>
      </c>
      <c r="C108" s="1">
        <v>45033</v>
      </c>
      <c r="E108" s="5">
        <f t="shared" si="11"/>
        <v>1112800000</v>
      </c>
      <c r="H108" s="5">
        <f t="shared" si="10"/>
        <v>928000000</v>
      </c>
      <c r="I108" s="5">
        <f t="shared" si="12"/>
        <v>1112800000</v>
      </c>
      <c r="J108" s="5">
        <f t="shared" si="13"/>
        <v>1972000000</v>
      </c>
    </row>
    <row r="109" spans="1:10" x14ac:dyDescent="0.3">
      <c r="A109">
        <f t="shared" si="7"/>
        <v>810000000</v>
      </c>
      <c r="C109" s="1">
        <v>45034</v>
      </c>
      <c r="E109" s="5">
        <f t="shared" si="11"/>
        <v>1123200000</v>
      </c>
      <c r="H109" s="5">
        <f t="shared" si="10"/>
        <v>928000000</v>
      </c>
      <c r="I109" s="5">
        <f t="shared" si="12"/>
        <v>1123200000</v>
      </c>
      <c r="J109" s="5">
        <f t="shared" si="13"/>
        <v>1972000000</v>
      </c>
    </row>
    <row r="110" spans="1:10" x14ac:dyDescent="0.3">
      <c r="A110">
        <f t="shared" si="7"/>
        <v>817500000</v>
      </c>
      <c r="C110" s="1">
        <v>45035</v>
      </c>
      <c r="E110" s="5">
        <f t="shared" si="11"/>
        <v>1133600000</v>
      </c>
      <c r="H110" s="5">
        <f t="shared" si="10"/>
        <v>928000000</v>
      </c>
      <c r="I110" s="5">
        <f t="shared" si="12"/>
        <v>1133600000</v>
      </c>
      <c r="J110" s="5">
        <f t="shared" si="13"/>
        <v>1972000000</v>
      </c>
    </row>
    <row r="111" spans="1:10" x14ac:dyDescent="0.3">
      <c r="A111">
        <f t="shared" si="7"/>
        <v>825000000</v>
      </c>
      <c r="C111" s="1">
        <v>45036</v>
      </c>
      <c r="E111" s="5">
        <f t="shared" si="11"/>
        <v>1144000000</v>
      </c>
      <c r="H111" s="5">
        <f t="shared" si="10"/>
        <v>928000000</v>
      </c>
      <c r="I111" s="5">
        <f t="shared" si="12"/>
        <v>1144000000</v>
      </c>
      <c r="J111" s="5">
        <f t="shared" si="13"/>
        <v>1972000000</v>
      </c>
    </row>
    <row r="112" spans="1:10" x14ac:dyDescent="0.3">
      <c r="A112">
        <f t="shared" si="7"/>
        <v>832500000</v>
      </c>
      <c r="C112" s="1">
        <v>45037</v>
      </c>
      <c r="E112" s="5">
        <f t="shared" si="11"/>
        <v>1154400000</v>
      </c>
      <c r="H112" s="5">
        <f t="shared" si="10"/>
        <v>928000000</v>
      </c>
      <c r="I112" s="5">
        <f t="shared" si="12"/>
        <v>1154400000</v>
      </c>
      <c r="J112" s="5">
        <f t="shared" si="13"/>
        <v>1972000000</v>
      </c>
    </row>
    <row r="113" spans="1:10" x14ac:dyDescent="0.3">
      <c r="A113">
        <f t="shared" si="7"/>
        <v>840000000</v>
      </c>
      <c r="C113" s="1">
        <v>45038</v>
      </c>
      <c r="E113" s="5">
        <f t="shared" si="11"/>
        <v>1164800000</v>
      </c>
      <c r="H113" s="5">
        <f t="shared" si="10"/>
        <v>928000000</v>
      </c>
      <c r="I113" s="5">
        <f t="shared" si="12"/>
        <v>1164800000</v>
      </c>
      <c r="J113" s="5">
        <f t="shared" si="13"/>
        <v>1972000000</v>
      </c>
    </row>
    <row r="114" spans="1:10" x14ac:dyDescent="0.3">
      <c r="A114">
        <f t="shared" si="7"/>
        <v>847500000</v>
      </c>
      <c r="C114" s="1">
        <v>45039</v>
      </c>
      <c r="E114" s="5">
        <f t="shared" si="11"/>
        <v>1175200000</v>
      </c>
      <c r="H114" s="5">
        <f t="shared" si="10"/>
        <v>928000000</v>
      </c>
      <c r="I114" s="5">
        <f t="shared" si="12"/>
        <v>1175200000</v>
      </c>
      <c r="J114" s="5">
        <f t="shared" si="13"/>
        <v>1972000000</v>
      </c>
    </row>
    <row r="115" spans="1:10" x14ac:dyDescent="0.3">
      <c r="A115">
        <f t="shared" si="7"/>
        <v>855000000</v>
      </c>
      <c r="C115" s="1">
        <v>45040</v>
      </c>
      <c r="E115" s="5">
        <f t="shared" si="11"/>
        <v>1185600000</v>
      </c>
      <c r="H115" s="5">
        <f t="shared" si="10"/>
        <v>928000000</v>
      </c>
      <c r="I115" s="5">
        <f t="shared" si="12"/>
        <v>1185600000</v>
      </c>
      <c r="J115" s="5">
        <f t="shared" si="13"/>
        <v>1972000000</v>
      </c>
    </row>
    <row r="116" spans="1:10" x14ac:dyDescent="0.3">
      <c r="A116">
        <f t="shared" si="7"/>
        <v>862500000</v>
      </c>
      <c r="C116" s="1">
        <v>45041</v>
      </c>
      <c r="E116" s="5">
        <f t="shared" si="11"/>
        <v>1196000000</v>
      </c>
      <c r="H116" s="5">
        <f t="shared" si="10"/>
        <v>928000000</v>
      </c>
      <c r="I116" s="5">
        <f t="shared" si="12"/>
        <v>1196000000</v>
      </c>
      <c r="J116" s="5">
        <f t="shared" si="13"/>
        <v>1972000000</v>
      </c>
    </row>
    <row r="117" spans="1:10" x14ac:dyDescent="0.3">
      <c r="A117">
        <f t="shared" si="7"/>
        <v>870000000</v>
      </c>
      <c r="C117" s="1">
        <v>45042</v>
      </c>
      <c r="E117" s="5">
        <f t="shared" si="11"/>
        <v>1206400000</v>
      </c>
      <c r="H117" s="5">
        <f t="shared" si="10"/>
        <v>928000000</v>
      </c>
      <c r="I117" s="5">
        <f t="shared" si="12"/>
        <v>1206400000</v>
      </c>
      <c r="J117" s="5">
        <f t="shared" si="13"/>
        <v>1972000000</v>
      </c>
    </row>
    <row r="118" spans="1:10" x14ac:dyDescent="0.3">
      <c r="A118">
        <f t="shared" si="7"/>
        <v>877500000</v>
      </c>
      <c r="C118" s="1">
        <v>45043</v>
      </c>
      <c r="E118" s="5">
        <f t="shared" si="11"/>
        <v>1216800000</v>
      </c>
      <c r="H118" s="5">
        <f t="shared" si="10"/>
        <v>928000000</v>
      </c>
      <c r="I118" s="5">
        <f t="shared" si="12"/>
        <v>1216800000</v>
      </c>
      <c r="J118" s="5">
        <f t="shared" si="13"/>
        <v>1972000000</v>
      </c>
    </row>
    <row r="119" spans="1:10" x14ac:dyDescent="0.3">
      <c r="A119">
        <f t="shared" si="7"/>
        <v>885000000</v>
      </c>
      <c r="C119" s="1">
        <v>45044</v>
      </c>
      <c r="E119" s="5">
        <f t="shared" si="11"/>
        <v>1227200000</v>
      </c>
      <c r="H119" s="5">
        <f t="shared" si="10"/>
        <v>928000000</v>
      </c>
      <c r="I119" s="5">
        <f t="shared" si="12"/>
        <v>1227200000</v>
      </c>
      <c r="J119" s="5">
        <f t="shared" si="13"/>
        <v>1972000000</v>
      </c>
    </row>
    <row r="120" spans="1:10" x14ac:dyDescent="0.3">
      <c r="A120">
        <f t="shared" si="7"/>
        <v>892500000</v>
      </c>
      <c r="C120" s="1">
        <v>45045</v>
      </c>
      <c r="E120" s="5">
        <f t="shared" si="11"/>
        <v>1237600000</v>
      </c>
      <c r="H120" s="5">
        <f t="shared" si="10"/>
        <v>928000000</v>
      </c>
      <c r="I120" s="5">
        <f t="shared" si="12"/>
        <v>1237600000</v>
      </c>
      <c r="J120" s="5">
        <f t="shared" si="13"/>
        <v>1972000000</v>
      </c>
    </row>
    <row r="121" spans="1:10" x14ac:dyDescent="0.3">
      <c r="A121">
        <f t="shared" si="7"/>
        <v>900000000</v>
      </c>
      <c r="C121" s="1">
        <v>45046</v>
      </c>
      <c r="E121" s="5">
        <f t="shared" si="11"/>
        <v>1248000000</v>
      </c>
      <c r="H121" s="5">
        <f t="shared" si="10"/>
        <v>928000000</v>
      </c>
      <c r="I121" s="5">
        <f t="shared" si="12"/>
        <v>1248000000</v>
      </c>
      <c r="J121" s="5">
        <f t="shared" si="13"/>
        <v>1972000000</v>
      </c>
    </row>
    <row r="122" spans="1:10" x14ac:dyDescent="0.3">
      <c r="A122">
        <f t="shared" si="7"/>
        <v>907500000</v>
      </c>
      <c r="C122" s="1">
        <v>45047</v>
      </c>
      <c r="E122" s="5">
        <f t="shared" si="11"/>
        <v>1258400000</v>
      </c>
      <c r="H122" s="5">
        <f t="shared" si="10"/>
        <v>928000000</v>
      </c>
      <c r="I122" s="5">
        <f t="shared" si="12"/>
        <v>1258400000</v>
      </c>
      <c r="J122" s="5">
        <f t="shared" si="13"/>
        <v>1972000000</v>
      </c>
    </row>
    <row r="123" spans="1:10" x14ac:dyDescent="0.3">
      <c r="A123">
        <f t="shared" si="7"/>
        <v>915000000</v>
      </c>
      <c r="C123" s="1">
        <v>45048</v>
      </c>
      <c r="E123" s="5">
        <f t="shared" si="11"/>
        <v>1268800000</v>
      </c>
      <c r="H123" s="5">
        <f t="shared" si="10"/>
        <v>928000000</v>
      </c>
      <c r="I123" s="5">
        <f t="shared" si="12"/>
        <v>1268800000</v>
      </c>
      <c r="J123" s="5">
        <f t="shared" si="13"/>
        <v>1972000000</v>
      </c>
    </row>
    <row r="124" spans="1:10" x14ac:dyDescent="0.3">
      <c r="A124">
        <f t="shared" si="7"/>
        <v>922500000</v>
      </c>
      <c r="C124" s="1">
        <v>45049</v>
      </c>
      <c r="E124" s="5">
        <f t="shared" si="11"/>
        <v>1279200000</v>
      </c>
      <c r="H124" s="5">
        <f t="shared" ref="H124:H155" si="14">$L$7</f>
        <v>928000000</v>
      </c>
      <c r="I124" s="5">
        <f t="shared" si="12"/>
        <v>1279200000</v>
      </c>
      <c r="J124" s="5">
        <f t="shared" si="13"/>
        <v>1972000000</v>
      </c>
    </row>
    <row r="125" spans="1:10" x14ac:dyDescent="0.3">
      <c r="A125">
        <f t="shared" si="7"/>
        <v>930000000</v>
      </c>
      <c r="C125" s="1">
        <v>45050</v>
      </c>
      <c r="E125" s="5">
        <f t="shared" ref="E125:E156" si="15">MIN(IF((E124+$L$8)&lt;($E$92+$L$5),E124+$L$8,$E$92+$L$5),$L$2-$L$4)</f>
        <v>1289600000</v>
      </c>
      <c r="H125" s="5">
        <f t="shared" si="14"/>
        <v>928000000</v>
      </c>
      <c r="I125" s="5">
        <f t="shared" si="12"/>
        <v>1289600000</v>
      </c>
      <c r="J125" s="5">
        <f t="shared" ref="J125:J156" si="16">MIN(IF((J124+$L$8+$L$9)&lt;($J$92+$L$5),J124+$L$9+$L$8,$J$92+$L$5),$L$2-$L$4)</f>
        <v>1972000000</v>
      </c>
    </row>
    <row r="126" spans="1:10" x14ac:dyDescent="0.3">
      <c r="A126">
        <f t="shared" si="7"/>
        <v>937500000</v>
      </c>
      <c r="C126" s="1">
        <v>45051</v>
      </c>
      <c r="E126" s="5">
        <f t="shared" si="15"/>
        <v>1300000000</v>
      </c>
      <c r="H126" s="5">
        <f t="shared" si="14"/>
        <v>928000000</v>
      </c>
      <c r="I126" s="5">
        <f t="shared" si="12"/>
        <v>1300000000</v>
      </c>
      <c r="J126" s="5">
        <f t="shared" si="16"/>
        <v>1972000000</v>
      </c>
    </row>
    <row r="127" spans="1:10" x14ac:dyDescent="0.3">
      <c r="A127">
        <f t="shared" si="7"/>
        <v>945000000</v>
      </c>
      <c r="C127" s="1">
        <v>45052</v>
      </c>
      <c r="E127" s="5">
        <f t="shared" si="15"/>
        <v>1310400000</v>
      </c>
      <c r="H127" s="5">
        <f t="shared" si="14"/>
        <v>928000000</v>
      </c>
      <c r="I127" s="5">
        <f t="shared" si="12"/>
        <v>1310400000</v>
      </c>
      <c r="J127" s="5">
        <f t="shared" si="16"/>
        <v>1972000000</v>
      </c>
    </row>
    <row r="128" spans="1:10" x14ac:dyDescent="0.3">
      <c r="A128">
        <f t="shared" si="7"/>
        <v>952500000</v>
      </c>
      <c r="C128" s="1">
        <v>45053</v>
      </c>
      <c r="E128" s="5">
        <f t="shared" si="15"/>
        <v>1320800000</v>
      </c>
      <c r="H128" s="5">
        <f t="shared" si="14"/>
        <v>928000000</v>
      </c>
      <c r="I128" s="5">
        <f t="shared" si="12"/>
        <v>1320800000</v>
      </c>
      <c r="J128" s="5">
        <f t="shared" si="16"/>
        <v>1972000000</v>
      </c>
    </row>
    <row r="129" spans="1:10" x14ac:dyDescent="0.3">
      <c r="A129">
        <f t="shared" si="7"/>
        <v>960000000</v>
      </c>
      <c r="C129" s="1">
        <v>45054</v>
      </c>
      <c r="E129" s="5">
        <f t="shared" si="15"/>
        <v>1331200000</v>
      </c>
      <c r="H129" s="5">
        <f t="shared" si="14"/>
        <v>928000000</v>
      </c>
      <c r="I129" s="5">
        <f t="shared" si="12"/>
        <v>1331200000</v>
      </c>
      <c r="J129" s="5">
        <f t="shared" si="16"/>
        <v>1972000000</v>
      </c>
    </row>
    <row r="130" spans="1:10" x14ac:dyDescent="0.3">
      <c r="A130">
        <f t="shared" si="7"/>
        <v>967500000</v>
      </c>
      <c r="C130" s="1">
        <v>45055</v>
      </c>
      <c r="E130" s="5">
        <f t="shared" si="15"/>
        <v>1341600000</v>
      </c>
      <c r="H130" s="5">
        <f t="shared" si="14"/>
        <v>928000000</v>
      </c>
      <c r="I130" s="5">
        <f t="shared" si="12"/>
        <v>1341600000</v>
      </c>
      <c r="J130" s="5">
        <f t="shared" si="16"/>
        <v>1972000000</v>
      </c>
    </row>
    <row r="131" spans="1:10" x14ac:dyDescent="0.3">
      <c r="A131">
        <f t="shared" si="7"/>
        <v>975000000</v>
      </c>
      <c r="C131" s="1">
        <v>45056</v>
      </c>
      <c r="E131" s="5">
        <f t="shared" si="15"/>
        <v>1352000000</v>
      </c>
      <c r="H131" s="5">
        <f t="shared" si="14"/>
        <v>928000000</v>
      </c>
      <c r="I131" s="5">
        <f t="shared" si="12"/>
        <v>1352000000</v>
      </c>
      <c r="J131" s="5">
        <f t="shared" si="16"/>
        <v>1972000000</v>
      </c>
    </row>
    <row r="132" spans="1:10" x14ac:dyDescent="0.3">
      <c r="A132">
        <f t="shared" ref="A132:A177" si="17">A131+7500000</f>
        <v>982500000</v>
      </c>
      <c r="C132" s="1">
        <v>45057</v>
      </c>
      <c r="E132" s="5">
        <f t="shared" si="15"/>
        <v>1362400000</v>
      </c>
      <c r="H132" s="5">
        <f t="shared" si="14"/>
        <v>928000000</v>
      </c>
      <c r="I132" s="5">
        <f t="shared" si="12"/>
        <v>1362400000</v>
      </c>
      <c r="J132" s="5">
        <f t="shared" si="16"/>
        <v>1972000000</v>
      </c>
    </row>
    <row r="133" spans="1:10" x14ac:dyDescent="0.3">
      <c r="A133">
        <f t="shared" si="17"/>
        <v>990000000</v>
      </c>
      <c r="C133" s="1">
        <v>45058</v>
      </c>
      <c r="E133" s="5">
        <f t="shared" si="15"/>
        <v>1372800000</v>
      </c>
      <c r="H133" s="5">
        <f t="shared" si="14"/>
        <v>928000000</v>
      </c>
      <c r="I133" s="5">
        <f t="shared" si="12"/>
        <v>1372800000</v>
      </c>
      <c r="J133" s="5">
        <f t="shared" si="16"/>
        <v>1972000000</v>
      </c>
    </row>
    <row r="134" spans="1:10" x14ac:dyDescent="0.3">
      <c r="A134">
        <f t="shared" si="17"/>
        <v>997500000</v>
      </c>
      <c r="C134" s="1">
        <v>45059</v>
      </c>
      <c r="E134" s="5">
        <f t="shared" si="15"/>
        <v>1383200000</v>
      </c>
      <c r="H134" s="5">
        <f t="shared" si="14"/>
        <v>928000000</v>
      </c>
      <c r="I134" s="5">
        <f t="shared" si="12"/>
        <v>1383200000</v>
      </c>
      <c r="J134" s="5">
        <f t="shared" si="16"/>
        <v>1972000000</v>
      </c>
    </row>
    <row r="135" spans="1:10" x14ac:dyDescent="0.3">
      <c r="A135">
        <f t="shared" si="17"/>
        <v>1005000000</v>
      </c>
      <c r="C135" s="1">
        <v>45060</v>
      </c>
      <c r="E135" s="5">
        <f t="shared" si="15"/>
        <v>1393600000</v>
      </c>
      <c r="H135" s="5">
        <f t="shared" si="14"/>
        <v>928000000</v>
      </c>
      <c r="I135" s="5">
        <f t="shared" si="12"/>
        <v>1393600000</v>
      </c>
      <c r="J135" s="5">
        <f t="shared" si="16"/>
        <v>1972000000</v>
      </c>
    </row>
    <row r="136" spans="1:10" x14ac:dyDescent="0.3">
      <c r="A136">
        <f t="shared" si="17"/>
        <v>1012500000</v>
      </c>
      <c r="C136" s="1">
        <v>45061</v>
      </c>
      <c r="E136" s="5">
        <f t="shared" si="15"/>
        <v>1404000000</v>
      </c>
      <c r="H136" s="5">
        <f t="shared" si="14"/>
        <v>928000000</v>
      </c>
      <c r="I136" s="5">
        <f t="shared" si="12"/>
        <v>1404000000</v>
      </c>
      <c r="J136" s="5">
        <f t="shared" si="16"/>
        <v>1972000000</v>
      </c>
    </row>
    <row r="137" spans="1:10" x14ac:dyDescent="0.3">
      <c r="A137">
        <f t="shared" si="17"/>
        <v>1020000000</v>
      </c>
      <c r="C137" s="1">
        <v>45062</v>
      </c>
      <c r="E137" s="5">
        <f t="shared" si="15"/>
        <v>1414400000</v>
      </c>
      <c r="H137" s="5">
        <f t="shared" si="14"/>
        <v>928000000</v>
      </c>
      <c r="I137" s="5">
        <f t="shared" si="12"/>
        <v>1414400000</v>
      </c>
      <c r="J137" s="5">
        <f t="shared" si="16"/>
        <v>1972000000</v>
      </c>
    </row>
    <row r="138" spans="1:10" x14ac:dyDescent="0.3">
      <c r="A138">
        <f t="shared" si="17"/>
        <v>1027500000</v>
      </c>
      <c r="C138" s="1">
        <v>45063</v>
      </c>
      <c r="E138" s="5">
        <f t="shared" si="15"/>
        <v>1424800000</v>
      </c>
      <c r="H138" s="5">
        <f t="shared" si="14"/>
        <v>928000000</v>
      </c>
      <c r="I138" s="5">
        <f t="shared" si="12"/>
        <v>1424800000</v>
      </c>
      <c r="J138" s="5">
        <f t="shared" si="16"/>
        <v>1972000000</v>
      </c>
    </row>
    <row r="139" spans="1:10" x14ac:dyDescent="0.3">
      <c r="A139">
        <f t="shared" si="17"/>
        <v>1035000000</v>
      </c>
      <c r="C139" s="1">
        <v>45064</v>
      </c>
      <c r="E139" s="5">
        <f t="shared" si="15"/>
        <v>1435200000</v>
      </c>
      <c r="H139" s="5">
        <f t="shared" si="14"/>
        <v>928000000</v>
      </c>
      <c r="I139" s="5">
        <f t="shared" si="12"/>
        <v>1435200000</v>
      </c>
      <c r="J139" s="5">
        <f t="shared" si="16"/>
        <v>1972000000</v>
      </c>
    </row>
    <row r="140" spans="1:10" x14ac:dyDescent="0.3">
      <c r="A140">
        <f t="shared" si="17"/>
        <v>1042500000</v>
      </c>
      <c r="C140" s="1">
        <v>45065</v>
      </c>
      <c r="E140" s="5">
        <f t="shared" si="15"/>
        <v>1439400000</v>
      </c>
      <c r="H140" s="5">
        <f t="shared" si="14"/>
        <v>928000000</v>
      </c>
      <c r="I140" s="5">
        <f t="shared" si="12"/>
        <v>1439400000</v>
      </c>
      <c r="J140" s="5">
        <f t="shared" si="16"/>
        <v>1972000000</v>
      </c>
    </row>
    <row r="141" spans="1:10" x14ac:dyDescent="0.3">
      <c r="A141">
        <f t="shared" si="17"/>
        <v>1050000000</v>
      </c>
      <c r="C141" s="1">
        <v>45066</v>
      </c>
      <c r="E141" s="5">
        <f t="shared" si="15"/>
        <v>1439400000</v>
      </c>
      <c r="H141" s="5">
        <f t="shared" si="14"/>
        <v>928000000</v>
      </c>
      <c r="I141" s="5">
        <f t="shared" si="12"/>
        <v>1439400000</v>
      </c>
      <c r="J141" s="5">
        <f t="shared" si="16"/>
        <v>1972000000</v>
      </c>
    </row>
    <row r="142" spans="1:10" x14ac:dyDescent="0.3">
      <c r="A142">
        <f t="shared" si="17"/>
        <v>1057500000</v>
      </c>
      <c r="C142" s="1">
        <v>45067</v>
      </c>
      <c r="E142" s="5">
        <f t="shared" si="15"/>
        <v>1439400000</v>
      </c>
      <c r="H142" s="5">
        <f t="shared" si="14"/>
        <v>928000000</v>
      </c>
      <c r="I142" s="5">
        <f t="shared" si="12"/>
        <v>1439400000</v>
      </c>
      <c r="J142" s="5">
        <f t="shared" si="16"/>
        <v>1972000000</v>
      </c>
    </row>
    <row r="143" spans="1:10" x14ac:dyDescent="0.3">
      <c r="A143">
        <f t="shared" si="17"/>
        <v>1065000000</v>
      </c>
      <c r="C143" s="1">
        <v>45068</v>
      </c>
      <c r="E143" s="5">
        <f t="shared" si="15"/>
        <v>1439400000</v>
      </c>
      <c r="H143" s="5">
        <f t="shared" si="14"/>
        <v>928000000</v>
      </c>
      <c r="I143" s="5">
        <f t="shared" si="12"/>
        <v>1439400000</v>
      </c>
      <c r="J143" s="5">
        <f t="shared" si="16"/>
        <v>1972000000</v>
      </c>
    </row>
    <row r="144" spans="1:10" x14ac:dyDescent="0.3">
      <c r="A144">
        <f t="shared" si="17"/>
        <v>1072500000</v>
      </c>
      <c r="C144" s="1">
        <v>45069</v>
      </c>
      <c r="E144" s="5">
        <f t="shared" si="15"/>
        <v>1439400000</v>
      </c>
      <c r="H144" s="5">
        <f t="shared" si="14"/>
        <v>928000000</v>
      </c>
      <c r="I144" s="5">
        <f t="shared" si="12"/>
        <v>1439400000</v>
      </c>
      <c r="J144" s="5">
        <f t="shared" si="16"/>
        <v>1972000000</v>
      </c>
    </row>
    <row r="145" spans="1:10" x14ac:dyDescent="0.3">
      <c r="A145">
        <f t="shared" si="17"/>
        <v>1080000000</v>
      </c>
      <c r="C145" s="1">
        <v>45070</v>
      </c>
      <c r="E145" s="5">
        <f t="shared" si="15"/>
        <v>1439400000</v>
      </c>
      <c r="H145" s="5">
        <f t="shared" si="14"/>
        <v>928000000</v>
      </c>
      <c r="I145" s="5">
        <f t="shared" si="12"/>
        <v>1439400000</v>
      </c>
      <c r="J145" s="5">
        <f t="shared" si="16"/>
        <v>1972000000</v>
      </c>
    </row>
    <row r="146" spans="1:10" x14ac:dyDescent="0.3">
      <c r="A146">
        <f t="shared" si="17"/>
        <v>1087500000</v>
      </c>
      <c r="C146" s="1">
        <v>45071</v>
      </c>
      <c r="E146" s="5">
        <f t="shared" si="15"/>
        <v>1439400000</v>
      </c>
      <c r="H146" s="5">
        <f t="shared" si="14"/>
        <v>928000000</v>
      </c>
      <c r="I146" s="5">
        <f t="shared" si="12"/>
        <v>1439400000</v>
      </c>
      <c r="J146" s="5">
        <f t="shared" si="16"/>
        <v>1972000000</v>
      </c>
    </row>
    <row r="147" spans="1:10" x14ac:dyDescent="0.3">
      <c r="A147">
        <f t="shared" si="17"/>
        <v>1095000000</v>
      </c>
      <c r="C147" s="1">
        <v>45072</v>
      </c>
      <c r="E147" s="5">
        <f t="shared" si="15"/>
        <v>1439400000</v>
      </c>
      <c r="H147" s="5">
        <f t="shared" si="14"/>
        <v>928000000</v>
      </c>
      <c r="I147" s="5">
        <f t="shared" si="12"/>
        <v>1439400000</v>
      </c>
      <c r="J147" s="5">
        <f t="shared" si="16"/>
        <v>1972000000</v>
      </c>
    </row>
    <row r="148" spans="1:10" x14ac:dyDescent="0.3">
      <c r="A148">
        <f t="shared" si="17"/>
        <v>1102500000</v>
      </c>
      <c r="C148" s="1">
        <v>45073</v>
      </c>
      <c r="E148" s="5">
        <f t="shared" si="15"/>
        <v>1439400000</v>
      </c>
      <c r="H148" s="5">
        <f t="shared" si="14"/>
        <v>928000000</v>
      </c>
      <c r="I148" s="5">
        <f t="shared" si="12"/>
        <v>1439400000</v>
      </c>
      <c r="J148" s="5">
        <f t="shared" si="16"/>
        <v>1972000000</v>
      </c>
    </row>
    <row r="149" spans="1:10" x14ac:dyDescent="0.3">
      <c r="A149">
        <f t="shared" si="17"/>
        <v>1110000000</v>
      </c>
      <c r="C149" s="1">
        <v>45074</v>
      </c>
      <c r="E149" s="5">
        <f t="shared" si="15"/>
        <v>1439400000</v>
      </c>
      <c r="H149" s="5">
        <f t="shared" si="14"/>
        <v>928000000</v>
      </c>
      <c r="I149" s="5">
        <f t="shared" si="12"/>
        <v>1439400000</v>
      </c>
      <c r="J149" s="5">
        <f t="shared" si="16"/>
        <v>1972000000</v>
      </c>
    </row>
    <row r="150" spans="1:10" x14ac:dyDescent="0.3">
      <c r="A150">
        <f t="shared" si="17"/>
        <v>1117500000</v>
      </c>
      <c r="C150" s="1">
        <v>45075</v>
      </c>
      <c r="E150" s="5">
        <f t="shared" si="15"/>
        <v>1439400000</v>
      </c>
      <c r="H150" s="5">
        <f t="shared" si="14"/>
        <v>928000000</v>
      </c>
      <c r="I150" s="5">
        <f t="shared" si="12"/>
        <v>1439400000</v>
      </c>
      <c r="J150" s="5">
        <f t="shared" si="16"/>
        <v>1972000000</v>
      </c>
    </row>
    <row r="151" spans="1:10" x14ac:dyDescent="0.3">
      <c r="A151">
        <f t="shared" si="17"/>
        <v>1125000000</v>
      </c>
      <c r="C151" s="1">
        <v>45076</v>
      </c>
      <c r="E151" s="5">
        <f t="shared" si="15"/>
        <v>1439400000</v>
      </c>
      <c r="H151" s="5">
        <f t="shared" si="14"/>
        <v>928000000</v>
      </c>
      <c r="I151" s="5">
        <f t="shared" si="12"/>
        <v>1439400000</v>
      </c>
      <c r="J151" s="5">
        <f t="shared" si="16"/>
        <v>1972000000</v>
      </c>
    </row>
    <row r="152" spans="1:10" x14ac:dyDescent="0.3">
      <c r="A152">
        <f t="shared" si="17"/>
        <v>1132500000</v>
      </c>
      <c r="C152" s="1">
        <v>45077</v>
      </c>
      <c r="E152" s="5">
        <f t="shared" si="15"/>
        <v>1439400000</v>
      </c>
      <c r="H152" s="5">
        <f t="shared" si="14"/>
        <v>928000000</v>
      </c>
      <c r="I152" s="5">
        <f t="shared" si="12"/>
        <v>1439400000</v>
      </c>
      <c r="J152" s="5">
        <f t="shared" si="16"/>
        <v>1972000000</v>
      </c>
    </row>
    <row r="153" spans="1:10" x14ac:dyDescent="0.3">
      <c r="A153">
        <f t="shared" si="17"/>
        <v>1140000000</v>
      </c>
      <c r="C153" s="1">
        <v>45078</v>
      </c>
      <c r="E153" s="5">
        <f t="shared" si="15"/>
        <v>1439400000</v>
      </c>
      <c r="H153" s="5">
        <f t="shared" si="14"/>
        <v>928000000</v>
      </c>
      <c r="I153" s="5">
        <f t="shared" si="12"/>
        <v>1439400000</v>
      </c>
      <c r="J153" s="5">
        <f t="shared" si="16"/>
        <v>1972000000</v>
      </c>
    </row>
    <row r="154" spans="1:10" x14ac:dyDescent="0.3">
      <c r="A154">
        <f t="shared" si="17"/>
        <v>1147500000</v>
      </c>
      <c r="C154" s="1">
        <v>45079</v>
      </c>
      <c r="E154" s="5">
        <f t="shared" si="15"/>
        <v>1439400000</v>
      </c>
      <c r="H154" s="5">
        <f t="shared" si="14"/>
        <v>928000000</v>
      </c>
      <c r="I154" s="5">
        <f t="shared" si="12"/>
        <v>1439400000</v>
      </c>
      <c r="J154" s="5">
        <f t="shared" si="16"/>
        <v>1972000000</v>
      </c>
    </row>
    <row r="155" spans="1:10" x14ac:dyDescent="0.3">
      <c r="A155">
        <f t="shared" si="17"/>
        <v>1155000000</v>
      </c>
      <c r="C155" s="1">
        <v>45080</v>
      </c>
      <c r="E155" s="5">
        <f t="shared" si="15"/>
        <v>1439400000</v>
      </c>
      <c r="H155" s="5">
        <f t="shared" si="14"/>
        <v>928000000</v>
      </c>
      <c r="I155" s="5">
        <f t="shared" si="12"/>
        <v>1439400000</v>
      </c>
      <c r="J155" s="5">
        <f t="shared" si="16"/>
        <v>1972000000</v>
      </c>
    </row>
    <row r="156" spans="1:10" x14ac:dyDescent="0.3">
      <c r="A156">
        <f t="shared" si="17"/>
        <v>1162500000</v>
      </c>
      <c r="C156" s="1">
        <v>45081</v>
      </c>
      <c r="E156" s="5">
        <f t="shared" si="15"/>
        <v>1439400000</v>
      </c>
      <c r="H156" s="5">
        <f t="shared" ref="H156:H182" si="18">$L$7</f>
        <v>928000000</v>
      </c>
      <c r="I156" s="5">
        <f t="shared" si="12"/>
        <v>1439400000</v>
      </c>
      <c r="J156" s="5">
        <f t="shared" si="16"/>
        <v>1972000000</v>
      </c>
    </row>
    <row r="157" spans="1:10" x14ac:dyDescent="0.3">
      <c r="A157">
        <f t="shared" si="17"/>
        <v>1170000000</v>
      </c>
      <c r="C157" s="1">
        <v>45082</v>
      </c>
      <c r="E157" s="5">
        <f t="shared" ref="E157:E182" si="19">MIN(IF((E156+$L$8)&lt;($E$92+$L$5),E156+$L$8,$E$92+$L$5),$L$2-$L$4)</f>
        <v>1439400000</v>
      </c>
      <c r="H157" s="5">
        <f t="shared" si="18"/>
        <v>928000000</v>
      </c>
      <c r="I157" s="5">
        <f t="shared" ref="I157:I182" si="20">E157</f>
        <v>1439400000</v>
      </c>
      <c r="J157" s="5">
        <f t="shared" ref="J157:J182" si="21">MIN(IF((J156+$L$8+$L$9)&lt;($J$92+$L$5),J156+$L$9+$L$8,$J$92+$L$5),$L$2-$L$4)</f>
        <v>1972000000</v>
      </c>
    </row>
    <row r="158" spans="1:10" x14ac:dyDescent="0.3">
      <c r="A158">
        <f t="shared" si="17"/>
        <v>1177500000</v>
      </c>
      <c r="C158" s="1">
        <v>45083</v>
      </c>
      <c r="E158" s="5">
        <f t="shared" si="19"/>
        <v>1439400000</v>
      </c>
      <c r="H158" s="5">
        <f t="shared" si="18"/>
        <v>928000000</v>
      </c>
      <c r="I158" s="5">
        <f t="shared" si="20"/>
        <v>1439400000</v>
      </c>
      <c r="J158" s="5">
        <f t="shared" si="21"/>
        <v>1972000000</v>
      </c>
    </row>
    <row r="159" spans="1:10" x14ac:dyDescent="0.3">
      <c r="A159">
        <f t="shared" si="17"/>
        <v>1185000000</v>
      </c>
      <c r="C159" s="1">
        <v>45084</v>
      </c>
      <c r="E159" s="5">
        <f t="shared" si="19"/>
        <v>1439400000</v>
      </c>
      <c r="H159" s="5">
        <f t="shared" si="18"/>
        <v>928000000</v>
      </c>
      <c r="I159" s="5">
        <f t="shared" si="20"/>
        <v>1439400000</v>
      </c>
      <c r="J159" s="5">
        <f t="shared" si="21"/>
        <v>1972000000</v>
      </c>
    </row>
    <row r="160" spans="1:10" x14ac:dyDescent="0.3">
      <c r="A160">
        <f t="shared" si="17"/>
        <v>1192500000</v>
      </c>
      <c r="C160" s="1">
        <v>45085</v>
      </c>
      <c r="E160" s="5">
        <f t="shared" si="19"/>
        <v>1439400000</v>
      </c>
      <c r="H160" s="5">
        <f t="shared" si="18"/>
        <v>928000000</v>
      </c>
      <c r="I160" s="5">
        <f t="shared" si="20"/>
        <v>1439400000</v>
      </c>
      <c r="J160" s="5">
        <f t="shared" si="21"/>
        <v>1972000000</v>
      </c>
    </row>
    <row r="161" spans="1:10" x14ac:dyDescent="0.3">
      <c r="A161">
        <f t="shared" si="17"/>
        <v>1200000000</v>
      </c>
      <c r="C161" s="1">
        <v>45086</v>
      </c>
      <c r="E161" s="5">
        <f t="shared" si="19"/>
        <v>1439400000</v>
      </c>
      <c r="H161" s="5">
        <f t="shared" si="18"/>
        <v>928000000</v>
      </c>
      <c r="I161" s="5">
        <f t="shared" si="20"/>
        <v>1439400000</v>
      </c>
      <c r="J161" s="5">
        <f t="shared" si="21"/>
        <v>1972000000</v>
      </c>
    </row>
    <row r="162" spans="1:10" x14ac:dyDescent="0.3">
      <c r="A162">
        <f t="shared" si="17"/>
        <v>1207500000</v>
      </c>
      <c r="C162" s="1">
        <v>45087</v>
      </c>
      <c r="E162" s="5">
        <f t="shared" si="19"/>
        <v>1439400000</v>
      </c>
      <c r="H162" s="5">
        <f t="shared" si="18"/>
        <v>928000000</v>
      </c>
      <c r="I162" s="5">
        <f t="shared" si="20"/>
        <v>1439400000</v>
      </c>
      <c r="J162" s="5">
        <f t="shared" si="21"/>
        <v>1972000000</v>
      </c>
    </row>
    <row r="163" spans="1:10" x14ac:dyDescent="0.3">
      <c r="A163">
        <f t="shared" si="17"/>
        <v>1215000000</v>
      </c>
      <c r="C163" s="1">
        <v>45088</v>
      </c>
      <c r="E163" s="5">
        <f t="shared" si="19"/>
        <v>1439400000</v>
      </c>
      <c r="H163" s="5">
        <f t="shared" si="18"/>
        <v>928000000</v>
      </c>
      <c r="I163" s="5">
        <f t="shared" si="20"/>
        <v>1439400000</v>
      </c>
      <c r="J163" s="5">
        <f t="shared" si="21"/>
        <v>1972000000</v>
      </c>
    </row>
    <row r="164" spans="1:10" x14ac:dyDescent="0.3">
      <c r="A164">
        <f t="shared" si="17"/>
        <v>1222500000</v>
      </c>
      <c r="C164" s="1">
        <v>45089</v>
      </c>
      <c r="E164" s="5">
        <f t="shared" si="19"/>
        <v>1439400000</v>
      </c>
      <c r="H164" s="5">
        <f t="shared" si="18"/>
        <v>928000000</v>
      </c>
      <c r="I164" s="5">
        <f t="shared" si="20"/>
        <v>1439400000</v>
      </c>
      <c r="J164" s="5">
        <f t="shared" si="21"/>
        <v>1972000000</v>
      </c>
    </row>
    <row r="165" spans="1:10" x14ac:dyDescent="0.3">
      <c r="A165">
        <f t="shared" si="17"/>
        <v>1230000000</v>
      </c>
      <c r="C165" s="1">
        <v>45090</v>
      </c>
      <c r="E165" s="5">
        <f t="shared" si="19"/>
        <v>1439400000</v>
      </c>
      <c r="H165" s="5">
        <f t="shared" si="18"/>
        <v>928000000</v>
      </c>
      <c r="I165" s="5">
        <f t="shared" si="20"/>
        <v>1439400000</v>
      </c>
      <c r="J165" s="5">
        <f t="shared" si="21"/>
        <v>1972000000</v>
      </c>
    </row>
    <row r="166" spans="1:10" x14ac:dyDescent="0.3">
      <c r="A166">
        <f t="shared" si="17"/>
        <v>1237500000</v>
      </c>
      <c r="C166" s="1">
        <v>45091</v>
      </c>
      <c r="E166" s="5">
        <f t="shared" si="19"/>
        <v>1439400000</v>
      </c>
      <c r="H166" s="5">
        <f t="shared" si="18"/>
        <v>928000000</v>
      </c>
      <c r="I166" s="5">
        <f t="shared" si="20"/>
        <v>1439400000</v>
      </c>
      <c r="J166" s="5">
        <f t="shared" si="21"/>
        <v>1972000000</v>
      </c>
    </row>
    <row r="167" spans="1:10" x14ac:dyDescent="0.3">
      <c r="A167">
        <f t="shared" si="17"/>
        <v>1245000000</v>
      </c>
      <c r="C167" s="1">
        <v>45092</v>
      </c>
      <c r="E167" s="5">
        <f t="shared" si="19"/>
        <v>1439400000</v>
      </c>
      <c r="H167" s="5">
        <f t="shared" si="18"/>
        <v>928000000</v>
      </c>
      <c r="I167" s="5">
        <f t="shared" si="20"/>
        <v>1439400000</v>
      </c>
      <c r="J167" s="5">
        <f t="shared" si="21"/>
        <v>1972000000</v>
      </c>
    </row>
    <row r="168" spans="1:10" x14ac:dyDescent="0.3">
      <c r="A168">
        <f t="shared" si="17"/>
        <v>1252500000</v>
      </c>
      <c r="C168" s="1">
        <v>45093</v>
      </c>
      <c r="E168" s="5">
        <f t="shared" si="19"/>
        <v>1439400000</v>
      </c>
      <c r="H168" s="5">
        <f t="shared" si="18"/>
        <v>928000000</v>
      </c>
      <c r="I168" s="5">
        <f t="shared" si="20"/>
        <v>1439400000</v>
      </c>
      <c r="J168" s="5">
        <f t="shared" si="21"/>
        <v>1972000000</v>
      </c>
    </row>
    <row r="169" spans="1:10" x14ac:dyDescent="0.3">
      <c r="A169">
        <f t="shared" si="17"/>
        <v>1260000000</v>
      </c>
      <c r="C169" s="1">
        <v>45094</v>
      </c>
      <c r="E169" s="5">
        <f t="shared" si="19"/>
        <v>1439400000</v>
      </c>
      <c r="H169" s="5">
        <f t="shared" si="18"/>
        <v>928000000</v>
      </c>
      <c r="I169" s="5">
        <f t="shared" si="20"/>
        <v>1439400000</v>
      </c>
      <c r="J169" s="5">
        <f t="shared" si="21"/>
        <v>1972000000</v>
      </c>
    </row>
    <row r="170" spans="1:10" x14ac:dyDescent="0.3">
      <c r="A170">
        <f t="shared" si="17"/>
        <v>1267500000</v>
      </c>
      <c r="C170" s="1">
        <v>45095</v>
      </c>
      <c r="E170" s="5">
        <f t="shared" si="19"/>
        <v>1439400000</v>
      </c>
      <c r="H170" s="5">
        <f t="shared" si="18"/>
        <v>928000000</v>
      </c>
      <c r="I170" s="5">
        <f t="shared" si="20"/>
        <v>1439400000</v>
      </c>
      <c r="J170" s="5">
        <f t="shared" si="21"/>
        <v>1972000000</v>
      </c>
    </row>
    <row r="171" spans="1:10" x14ac:dyDescent="0.3">
      <c r="A171">
        <f t="shared" si="17"/>
        <v>1275000000</v>
      </c>
      <c r="C171" s="1">
        <v>45096</v>
      </c>
      <c r="E171" s="5">
        <f t="shared" si="19"/>
        <v>1439400000</v>
      </c>
      <c r="H171" s="5">
        <f t="shared" si="18"/>
        <v>928000000</v>
      </c>
      <c r="I171" s="5">
        <f t="shared" si="20"/>
        <v>1439400000</v>
      </c>
      <c r="J171" s="5">
        <f t="shared" si="21"/>
        <v>1972000000</v>
      </c>
    </row>
    <row r="172" spans="1:10" x14ac:dyDescent="0.3">
      <c r="A172">
        <f t="shared" si="17"/>
        <v>1282500000</v>
      </c>
      <c r="C172" s="1">
        <v>45097</v>
      </c>
      <c r="E172" s="5">
        <f t="shared" si="19"/>
        <v>1439400000</v>
      </c>
      <c r="H172" s="5">
        <f t="shared" si="18"/>
        <v>928000000</v>
      </c>
      <c r="I172" s="5">
        <f t="shared" si="20"/>
        <v>1439400000</v>
      </c>
      <c r="J172" s="5">
        <f t="shared" si="21"/>
        <v>1972000000</v>
      </c>
    </row>
    <row r="173" spans="1:10" x14ac:dyDescent="0.3">
      <c r="A173">
        <f t="shared" si="17"/>
        <v>1290000000</v>
      </c>
      <c r="C173" s="1">
        <v>45098</v>
      </c>
      <c r="E173" s="5">
        <f t="shared" si="19"/>
        <v>1439400000</v>
      </c>
      <c r="H173" s="5">
        <f t="shared" si="18"/>
        <v>928000000</v>
      </c>
      <c r="I173" s="5">
        <f t="shared" si="20"/>
        <v>1439400000</v>
      </c>
      <c r="J173" s="5">
        <f t="shared" si="21"/>
        <v>1972000000</v>
      </c>
    </row>
    <row r="174" spans="1:10" x14ac:dyDescent="0.3">
      <c r="A174">
        <f t="shared" si="17"/>
        <v>1297500000</v>
      </c>
      <c r="C174" s="1">
        <v>45099</v>
      </c>
      <c r="E174" s="5">
        <f t="shared" si="19"/>
        <v>1439400000</v>
      </c>
      <c r="H174" s="5">
        <f t="shared" si="18"/>
        <v>928000000</v>
      </c>
      <c r="I174" s="5">
        <f t="shared" si="20"/>
        <v>1439400000</v>
      </c>
      <c r="J174" s="5">
        <f t="shared" si="21"/>
        <v>1972000000</v>
      </c>
    </row>
    <row r="175" spans="1:10" x14ac:dyDescent="0.3">
      <c r="A175">
        <f t="shared" si="17"/>
        <v>1305000000</v>
      </c>
      <c r="C175" s="1">
        <v>45100</v>
      </c>
      <c r="E175" s="5">
        <f t="shared" si="19"/>
        <v>1439400000</v>
      </c>
      <c r="H175" s="5">
        <f t="shared" si="18"/>
        <v>928000000</v>
      </c>
      <c r="I175" s="5">
        <f t="shared" si="20"/>
        <v>1439400000</v>
      </c>
      <c r="J175" s="5">
        <f t="shared" si="21"/>
        <v>1972000000</v>
      </c>
    </row>
    <row r="176" spans="1:10" x14ac:dyDescent="0.3">
      <c r="A176">
        <f t="shared" si="17"/>
        <v>1312500000</v>
      </c>
      <c r="C176" s="1">
        <v>45101</v>
      </c>
      <c r="E176" s="5">
        <f t="shared" si="19"/>
        <v>1439400000</v>
      </c>
      <c r="H176" s="5">
        <f t="shared" si="18"/>
        <v>928000000</v>
      </c>
      <c r="I176" s="5">
        <f t="shared" si="20"/>
        <v>1439400000</v>
      </c>
      <c r="J176" s="5">
        <f t="shared" si="21"/>
        <v>1972000000</v>
      </c>
    </row>
    <row r="177" spans="1:10" x14ac:dyDescent="0.3">
      <c r="A177">
        <f t="shared" si="17"/>
        <v>1320000000</v>
      </c>
      <c r="C177" s="1">
        <v>45102</v>
      </c>
      <c r="E177" s="5">
        <f t="shared" si="19"/>
        <v>1439400000</v>
      </c>
      <c r="H177" s="5">
        <f t="shared" si="18"/>
        <v>928000000</v>
      </c>
      <c r="I177" s="5">
        <f t="shared" si="20"/>
        <v>1439400000</v>
      </c>
      <c r="J177" s="5">
        <f t="shared" si="21"/>
        <v>1972000000</v>
      </c>
    </row>
    <row r="178" spans="1:10" x14ac:dyDescent="0.3">
      <c r="C178" s="1">
        <v>45103</v>
      </c>
      <c r="E178" s="5">
        <f t="shared" si="19"/>
        <v>1439400000</v>
      </c>
      <c r="H178" s="5">
        <f t="shared" si="18"/>
        <v>928000000</v>
      </c>
      <c r="I178" s="5">
        <f t="shared" si="20"/>
        <v>1439400000</v>
      </c>
      <c r="J178" s="5">
        <f t="shared" si="21"/>
        <v>1972000000</v>
      </c>
    </row>
    <row r="179" spans="1:10" x14ac:dyDescent="0.3">
      <c r="C179" s="1">
        <v>45104</v>
      </c>
      <c r="E179" s="5">
        <f t="shared" si="19"/>
        <v>1439400000</v>
      </c>
      <c r="H179" s="5">
        <f t="shared" si="18"/>
        <v>928000000</v>
      </c>
      <c r="I179" s="5">
        <f t="shared" si="20"/>
        <v>1439400000</v>
      </c>
      <c r="J179" s="5">
        <f t="shared" si="21"/>
        <v>1972000000</v>
      </c>
    </row>
    <row r="180" spans="1:10" x14ac:dyDescent="0.3">
      <c r="C180" s="1">
        <v>45105</v>
      </c>
      <c r="E180" s="5">
        <f t="shared" si="19"/>
        <v>1439400000</v>
      </c>
      <c r="H180" s="5">
        <f t="shared" si="18"/>
        <v>928000000</v>
      </c>
      <c r="I180" s="5">
        <f t="shared" si="20"/>
        <v>1439400000</v>
      </c>
      <c r="J180" s="5">
        <f t="shared" si="21"/>
        <v>1972000000</v>
      </c>
    </row>
    <row r="181" spans="1:10" x14ac:dyDescent="0.3">
      <c r="C181" s="1">
        <v>45106</v>
      </c>
      <c r="E181" s="5">
        <f t="shared" si="19"/>
        <v>1439400000</v>
      </c>
      <c r="H181" s="5">
        <f t="shared" si="18"/>
        <v>928000000</v>
      </c>
      <c r="I181" s="5">
        <f t="shared" si="20"/>
        <v>1439400000</v>
      </c>
      <c r="J181" s="5">
        <f t="shared" si="21"/>
        <v>1972000000</v>
      </c>
    </row>
    <row r="182" spans="1:10" x14ac:dyDescent="0.3">
      <c r="C182" s="1">
        <v>45107</v>
      </c>
      <c r="E182" s="5">
        <f t="shared" si="19"/>
        <v>1439400000</v>
      </c>
      <c r="H182" s="5">
        <f t="shared" si="18"/>
        <v>928000000</v>
      </c>
      <c r="I182" s="5">
        <f t="shared" si="20"/>
        <v>1439400000</v>
      </c>
      <c r="J182" s="5">
        <f t="shared" si="21"/>
        <v>1972000000</v>
      </c>
    </row>
    <row r="183" spans="1:10" x14ac:dyDescent="0.3">
      <c r="B183" t="s">
        <v>3</v>
      </c>
      <c r="C183" s="2">
        <v>45108</v>
      </c>
      <c r="F183" s="5">
        <f>E182+$L$8</f>
        <v>1449800000</v>
      </c>
      <c r="H183" s="5">
        <f>MAX($L$7,IF((H184-$L$8)&gt;0,H184-$L$8,0))</f>
        <v>928000000</v>
      </c>
      <c r="I183" s="5">
        <f>F183</f>
        <v>1449800000</v>
      </c>
      <c r="J183" s="5">
        <f>IF(J182+$L$8+$L$9&lt;$L$2-$L$7,J182+$L$8+$L$9,$L$2-$L$7)</f>
        <v>1972000000</v>
      </c>
    </row>
    <row r="184" spans="1:10" x14ac:dyDescent="0.3">
      <c r="C184" s="2">
        <v>45109</v>
      </c>
      <c r="F184" s="5">
        <f t="shared" ref="F184:F215" si="22">MIN(IF((F183+$L$8)&gt;($E$182+$L$6),$E$182+$L$6,F183+$L$8),$L$2-$L$7)</f>
        <v>1460200000</v>
      </c>
      <c r="H184" s="5">
        <f t="shared" ref="H184:H247" si="23">MAX($L$7,IF((H185-$L$8)&gt;0,H185-$L$8,0))</f>
        <v>928000000</v>
      </c>
      <c r="I184" s="5">
        <f t="shared" ref="I184:I247" si="24">F184</f>
        <v>1460200000</v>
      </c>
      <c r="J184" s="5">
        <f t="shared" ref="J184:J247" si="25">IF(J183+$L$8+$L$9&lt;$L$2-$L$7,J183+$L$8+$L$9,$L$2-$L$7)</f>
        <v>1972000000</v>
      </c>
    </row>
    <row r="185" spans="1:10" x14ac:dyDescent="0.3">
      <c r="C185" s="2">
        <v>45110</v>
      </c>
      <c r="F185" s="5">
        <f t="shared" si="22"/>
        <v>1470600000</v>
      </c>
      <c r="H185" s="5">
        <f t="shared" si="23"/>
        <v>928000000</v>
      </c>
      <c r="I185" s="5">
        <f t="shared" si="24"/>
        <v>1470600000</v>
      </c>
      <c r="J185" s="5">
        <f t="shared" si="25"/>
        <v>1972000000</v>
      </c>
    </row>
    <row r="186" spans="1:10" x14ac:dyDescent="0.3">
      <c r="C186" s="2">
        <v>45111</v>
      </c>
      <c r="F186" s="5">
        <f t="shared" si="22"/>
        <v>1481000000</v>
      </c>
      <c r="H186" s="5">
        <f t="shared" si="23"/>
        <v>928000000</v>
      </c>
      <c r="I186" s="5">
        <f t="shared" si="24"/>
        <v>1481000000</v>
      </c>
      <c r="J186" s="5">
        <f t="shared" si="25"/>
        <v>1972000000</v>
      </c>
    </row>
    <row r="187" spans="1:10" x14ac:dyDescent="0.3">
      <c r="C187" s="2">
        <v>45112</v>
      </c>
      <c r="F187" s="5">
        <f t="shared" si="22"/>
        <v>1491400000</v>
      </c>
      <c r="H187" s="5">
        <f t="shared" si="23"/>
        <v>928000000</v>
      </c>
      <c r="I187" s="5">
        <f t="shared" si="24"/>
        <v>1491400000</v>
      </c>
      <c r="J187" s="5">
        <f t="shared" si="25"/>
        <v>1972000000</v>
      </c>
    </row>
    <row r="188" spans="1:10" x14ac:dyDescent="0.3">
      <c r="C188" s="2">
        <v>45113</v>
      </c>
      <c r="F188" s="5">
        <f t="shared" si="22"/>
        <v>1501800000</v>
      </c>
      <c r="H188" s="5">
        <f t="shared" si="23"/>
        <v>928000000</v>
      </c>
      <c r="I188" s="5">
        <f t="shared" si="24"/>
        <v>1501800000</v>
      </c>
      <c r="J188" s="5">
        <f t="shared" si="25"/>
        <v>1972000000</v>
      </c>
    </row>
    <row r="189" spans="1:10" x14ac:dyDescent="0.3">
      <c r="C189" s="2">
        <v>45114</v>
      </c>
      <c r="F189" s="5">
        <f t="shared" si="22"/>
        <v>1512200000</v>
      </c>
      <c r="H189" s="5">
        <f t="shared" si="23"/>
        <v>928000000</v>
      </c>
      <c r="I189" s="5">
        <f t="shared" si="24"/>
        <v>1512200000</v>
      </c>
      <c r="J189" s="5">
        <f t="shared" si="25"/>
        <v>1972000000</v>
      </c>
    </row>
    <row r="190" spans="1:10" x14ac:dyDescent="0.3">
      <c r="C190" s="2">
        <v>45115</v>
      </c>
      <c r="F190" s="5">
        <f t="shared" si="22"/>
        <v>1522600000</v>
      </c>
      <c r="H190" s="5">
        <f t="shared" si="23"/>
        <v>928000000</v>
      </c>
      <c r="I190" s="5">
        <f t="shared" si="24"/>
        <v>1522600000</v>
      </c>
      <c r="J190" s="5">
        <f t="shared" si="25"/>
        <v>1972000000</v>
      </c>
    </row>
    <row r="191" spans="1:10" x14ac:dyDescent="0.3">
      <c r="C191" s="2">
        <v>45116</v>
      </c>
      <c r="F191" s="5">
        <f t="shared" si="22"/>
        <v>1533000000</v>
      </c>
      <c r="H191" s="5">
        <f t="shared" si="23"/>
        <v>928000000</v>
      </c>
      <c r="I191" s="5">
        <f t="shared" si="24"/>
        <v>1533000000</v>
      </c>
      <c r="J191" s="5">
        <f t="shared" si="25"/>
        <v>1972000000</v>
      </c>
    </row>
    <row r="192" spans="1:10" x14ac:dyDescent="0.3">
      <c r="C192" s="2">
        <v>45117</v>
      </c>
      <c r="F192" s="5">
        <f t="shared" si="22"/>
        <v>1543400000</v>
      </c>
      <c r="H192" s="5">
        <f t="shared" si="23"/>
        <v>928000000</v>
      </c>
      <c r="I192" s="5">
        <f t="shared" si="24"/>
        <v>1543400000</v>
      </c>
      <c r="J192" s="5">
        <f t="shared" si="25"/>
        <v>1972000000</v>
      </c>
    </row>
    <row r="193" spans="3:10" x14ac:dyDescent="0.3">
      <c r="C193" s="2">
        <v>45118</v>
      </c>
      <c r="F193" s="5">
        <f t="shared" si="22"/>
        <v>1553800000</v>
      </c>
      <c r="H193" s="5">
        <f t="shared" si="23"/>
        <v>928000000</v>
      </c>
      <c r="I193" s="5">
        <f t="shared" si="24"/>
        <v>1553800000</v>
      </c>
      <c r="J193" s="5">
        <f t="shared" si="25"/>
        <v>1972000000</v>
      </c>
    </row>
    <row r="194" spans="3:10" x14ac:dyDescent="0.3">
      <c r="C194" s="2">
        <v>45119</v>
      </c>
      <c r="F194" s="5">
        <f t="shared" si="22"/>
        <v>1564200000</v>
      </c>
      <c r="H194" s="5">
        <f t="shared" si="23"/>
        <v>928000000</v>
      </c>
      <c r="I194" s="5">
        <f t="shared" si="24"/>
        <v>1564200000</v>
      </c>
      <c r="J194" s="5">
        <f t="shared" si="25"/>
        <v>1972000000</v>
      </c>
    </row>
    <row r="195" spans="3:10" x14ac:dyDescent="0.3">
      <c r="C195" s="2">
        <v>45120</v>
      </c>
      <c r="F195" s="5">
        <f t="shared" si="22"/>
        <v>1574600000</v>
      </c>
      <c r="H195" s="5">
        <f t="shared" si="23"/>
        <v>928000000</v>
      </c>
      <c r="I195" s="5">
        <f t="shared" si="24"/>
        <v>1574600000</v>
      </c>
      <c r="J195" s="5">
        <f t="shared" si="25"/>
        <v>1972000000</v>
      </c>
    </row>
    <row r="196" spans="3:10" x14ac:dyDescent="0.3">
      <c r="C196" s="2">
        <v>45121</v>
      </c>
      <c r="F196" s="5">
        <f t="shared" si="22"/>
        <v>1585000000</v>
      </c>
      <c r="H196" s="5">
        <f t="shared" si="23"/>
        <v>928000000</v>
      </c>
      <c r="I196" s="5">
        <f t="shared" si="24"/>
        <v>1585000000</v>
      </c>
      <c r="J196" s="5">
        <f t="shared" si="25"/>
        <v>1972000000</v>
      </c>
    </row>
    <row r="197" spans="3:10" x14ac:dyDescent="0.3">
      <c r="C197" s="2">
        <v>45122</v>
      </c>
      <c r="F197" s="5">
        <f t="shared" si="22"/>
        <v>1595400000</v>
      </c>
      <c r="H197" s="5">
        <f t="shared" si="23"/>
        <v>928000000</v>
      </c>
      <c r="I197" s="5">
        <f t="shared" si="24"/>
        <v>1595400000</v>
      </c>
      <c r="J197" s="5">
        <f t="shared" si="25"/>
        <v>1972000000</v>
      </c>
    </row>
    <row r="198" spans="3:10" x14ac:dyDescent="0.3">
      <c r="C198" s="2">
        <v>45123</v>
      </c>
      <c r="F198" s="5">
        <f t="shared" si="22"/>
        <v>1605800000</v>
      </c>
      <c r="H198" s="5">
        <f t="shared" si="23"/>
        <v>928000000</v>
      </c>
      <c r="I198" s="5">
        <f t="shared" si="24"/>
        <v>1605800000</v>
      </c>
      <c r="J198" s="5">
        <f t="shared" si="25"/>
        <v>1972000000</v>
      </c>
    </row>
    <row r="199" spans="3:10" x14ac:dyDescent="0.3">
      <c r="C199" s="2">
        <v>45124</v>
      </c>
      <c r="F199" s="5">
        <f t="shared" si="22"/>
        <v>1616200000</v>
      </c>
      <c r="H199" s="5">
        <f t="shared" si="23"/>
        <v>928000000</v>
      </c>
      <c r="I199" s="5">
        <f t="shared" si="24"/>
        <v>1616200000</v>
      </c>
      <c r="J199" s="5">
        <f t="shared" si="25"/>
        <v>1972000000</v>
      </c>
    </row>
    <row r="200" spans="3:10" x14ac:dyDescent="0.3">
      <c r="C200" s="2">
        <v>45125</v>
      </c>
      <c r="F200" s="5">
        <f t="shared" si="22"/>
        <v>1626600000</v>
      </c>
      <c r="H200" s="5">
        <f t="shared" si="23"/>
        <v>928000000</v>
      </c>
      <c r="I200" s="5">
        <f t="shared" si="24"/>
        <v>1626600000</v>
      </c>
      <c r="J200" s="5">
        <f t="shared" si="25"/>
        <v>1972000000</v>
      </c>
    </row>
    <row r="201" spans="3:10" x14ac:dyDescent="0.3">
      <c r="C201" s="2">
        <v>45126</v>
      </c>
      <c r="F201" s="5">
        <f t="shared" si="22"/>
        <v>1637000000</v>
      </c>
      <c r="H201" s="5">
        <f t="shared" si="23"/>
        <v>928000000</v>
      </c>
      <c r="I201" s="5">
        <f t="shared" si="24"/>
        <v>1637000000</v>
      </c>
      <c r="J201" s="5">
        <f>IF(J200+$L$8+$L$9&lt;$L$2-$L$7,J200+$L$8+$L$9,$L$2-$L$7)</f>
        <v>1972000000</v>
      </c>
    </row>
    <row r="202" spans="3:10" x14ac:dyDescent="0.3">
      <c r="C202" s="2">
        <v>45127</v>
      </c>
      <c r="F202" s="5">
        <f t="shared" si="22"/>
        <v>1647400000</v>
      </c>
      <c r="H202" s="5">
        <f t="shared" si="23"/>
        <v>928000000</v>
      </c>
      <c r="I202" s="5">
        <f t="shared" si="24"/>
        <v>1647400000</v>
      </c>
      <c r="J202" s="5">
        <f t="shared" si="25"/>
        <v>1972000000</v>
      </c>
    </row>
    <row r="203" spans="3:10" x14ac:dyDescent="0.3">
      <c r="C203" s="2">
        <v>45128</v>
      </c>
      <c r="F203" s="5">
        <f t="shared" si="22"/>
        <v>1657800000</v>
      </c>
      <c r="H203" s="5">
        <f t="shared" si="23"/>
        <v>928000000</v>
      </c>
      <c r="I203" s="5">
        <f t="shared" si="24"/>
        <v>1657800000</v>
      </c>
      <c r="J203" s="5">
        <f t="shared" si="25"/>
        <v>1972000000</v>
      </c>
    </row>
    <row r="204" spans="3:10" x14ac:dyDescent="0.3">
      <c r="C204" s="2">
        <v>45129</v>
      </c>
      <c r="F204" s="5">
        <f t="shared" si="22"/>
        <v>1668200000</v>
      </c>
      <c r="H204" s="5">
        <f t="shared" si="23"/>
        <v>928000000</v>
      </c>
      <c r="I204" s="5">
        <f t="shared" si="24"/>
        <v>1668200000</v>
      </c>
      <c r="J204" s="5">
        <f t="shared" si="25"/>
        <v>1972000000</v>
      </c>
    </row>
    <row r="205" spans="3:10" x14ac:dyDescent="0.3">
      <c r="C205" s="2">
        <v>45130</v>
      </c>
      <c r="F205" s="5">
        <f t="shared" si="22"/>
        <v>1678600000</v>
      </c>
      <c r="H205" s="5">
        <f t="shared" si="23"/>
        <v>928000000</v>
      </c>
      <c r="I205" s="5">
        <f t="shared" si="24"/>
        <v>1678600000</v>
      </c>
      <c r="J205" s="5">
        <f t="shared" si="25"/>
        <v>1972000000</v>
      </c>
    </row>
    <row r="206" spans="3:10" x14ac:dyDescent="0.3">
      <c r="C206" s="2">
        <v>45131</v>
      </c>
      <c r="F206" s="5">
        <f t="shared" si="22"/>
        <v>1689000000</v>
      </c>
      <c r="H206" s="5">
        <f t="shared" si="23"/>
        <v>928000000</v>
      </c>
      <c r="I206" s="5">
        <f t="shared" si="24"/>
        <v>1689000000</v>
      </c>
      <c r="J206" s="5">
        <f t="shared" si="25"/>
        <v>1972000000</v>
      </c>
    </row>
    <row r="207" spans="3:10" x14ac:dyDescent="0.3">
      <c r="C207" s="2">
        <v>45132</v>
      </c>
      <c r="F207" s="5">
        <f t="shared" si="22"/>
        <v>1699400000</v>
      </c>
      <c r="H207" s="5">
        <f t="shared" si="23"/>
        <v>928000000</v>
      </c>
      <c r="I207" s="5">
        <f t="shared" si="24"/>
        <v>1699400000</v>
      </c>
      <c r="J207" s="5">
        <f t="shared" si="25"/>
        <v>1972000000</v>
      </c>
    </row>
    <row r="208" spans="3:10" x14ac:dyDescent="0.3">
      <c r="C208" s="2">
        <v>45133</v>
      </c>
      <c r="F208" s="5">
        <f t="shared" si="22"/>
        <v>1709800000</v>
      </c>
      <c r="H208" s="5">
        <f t="shared" si="23"/>
        <v>928000000</v>
      </c>
      <c r="I208" s="5">
        <f t="shared" si="24"/>
        <v>1709800000</v>
      </c>
      <c r="J208" s="5">
        <f t="shared" si="25"/>
        <v>1972000000</v>
      </c>
    </row>
    <row r="209" spans="3:10" x14ac:dyDescent="0.3">
      <c r="C209" s="2">
        <v>45134</v>
      </c>
      <c r="F209" s="5">
        <f t="shared" si="22"/>
        <v>1720200000</v>
      </c>
      <c r="H209" s="5">
        <f t="shared" si="23"/>
        <v>928000000</v>
      </c>
      <c r="I209" s="5">
        <f t="shared" si="24"/>
        <v>1720200000</v>
      </c>
      <c r="J209" s="5">
        <f t="shared" si="25"/>
        <v>1972000000</v>
      </c>
    </row>
    <row r="210" spans="3:10" x14ac:dyDescent="0.3">
      <c r="C210" s="2">
        <v>45135</v>
      </c>
      <c r="F210" s="5">
        <f t="shared" si="22"/>
        <v>1730600000</v>
      </c>
      <c r="H210" s="5">
        <f t="shared" si="23"/>
        <v>928000000</v>
      </c>
      <c r="I210" s="5">
        <f t="shared" si="24"/>
        <v>1730600000</v>
      </c>
      <c r="J210" s="5">
        <f t="shared" si="25"/>
        <v>1972000000</v>
      </c>
    </row>
    <row r="211" spans="3:10" x14ac:dyDescent="0.3">
      <c r="C211" s="2">
        <v>45136</v>
      </c>
      <c r="F211" s="5">
        <f t="shared" si="22"/>
        <v>1741000000</v>
      </c>
      <c r="H211" s="5">
        <f t="shared" si="23"/>
        <v>928000000</v>
      </c>
      <c r="I211" s="5">
        <f t="shared" si="24"/>
        <v>1741000000</v>
      </c>
      <c r="J211" s="5">
        <f t="shared" si="25"/>
        <v>1972000000</v>
      </c>
    </row>
    <row r="212" spans="3:10" x14ac:dyDescent="0.3">
      <c r="C212" s="2">
        <v>45137</v>
      </c>
      <c r="F212" s="5">
        <f t="shared" si="22"/>
        <v>1751400000</v>
      </c>
      <c r="H212" s="5">
        <f t="shared" si="23"/>
        <v>928000000</v>
      </c>
      <c r="I212" s="5">
        <f t="shared" si="24"/>
        <v>1751400000</v>
      </c>
      <c r="J212" s="5">
        <f t="shared" si="25"/>
        <v>1972000000</v>
      </c>
    </row>
    <row r="213" spans="3:10" x14ac:dyDescent="0.3">
      <c r="C213" s="2">
        <v>45138</v>
      </c>
      <c r="F213" s="5">
        <f t="shared" si="22"/>
        <v>1761800000</v>
      </c>
      <c r="H213" s="5">
        <f t="shared" si="23"/>
        <v>928000000</v>
      </c>
      <c r="I213" s="5">
        <f t="shared" si="24"/>
        <v>1761800000</v>
      </c>
      <c r="J213" s="5">
        <f t="shared" si="25"/>
        <v>1972000000</v>
      </c>
    </row>
    <row r="214" spans="3:10" x14ac:dyDescent="0.3">
      <c r="C214" s="2">
        <v>45139</v>
      </c>
      <c r="F214" s="5">
        <f t="shared" si="22"/>
        <v>1772200000</v>
      </c>
      <c r="H214" s="5">
        <f t="shared" si="23"/>
        <v>928000000</v>
      </c>
      <c r="I214" s="5">
        <f t="shared" si="24"/>
        <v>1772200000</v>
      </c>
      <c r="J214" s="5">
        <f t="shared" si="25"/>
        <v>1972000000</v>
      </c>
    </row>
    <row r="215" spans="3:10" x14ac:dyDescent="0.3">
      <c r="C215" s="2">
        <v>45140</v>
      </c>
      <c r="F215" s="5">
        <f t="shared" si="22"/>
        <v>1782600000</v>
      </c>
      <c r="H215" s="5">
        <f t="shared" si="23"/>
        <v>928000000</v>
      </c>
      <c r="I215" s="5">
        <f t="shared" si="24"/>
        <v>1782600000</v>
      </c>
      <c r="J215" s="5">
        <f t="shared" si="25"/>
        <v>1972000000</v>
      </c>
    </row>
    <row r="216" spans="3:10" x14ac:dyDescent="0.3">
      <c r="C216" s="2">
        <v>45141</v>
      </c>
      <c r="F216" s="5">
        <f t="shared" ref="F216:F247" si="26">MIN(IF((F215+$L$8)&gt;($E$182+$L$6),$E$182+$L$6,F215+$L$8),$L$2-$L$7)</f>
        <v>1793000000</v>
      </c>
      <c r="H216" s="5">
        <f t="shared" si="23"/>
        <v>928000000</v>
      </c>
      <c r="I216" s="5">
        <f t="shared" si="24"/>
        <v>1793000000</v>
      </c>
      <c r="J216" s="5">
        <f t="shared" si="25"/>
        <v>1972000000</v>
      </c>
    </row>
    <row r="217" spans="3:10" x14ac:dyDescent="0.3">
      <c r="C217" s="2">
        <v>45142</v>
      </c>
      <c r="F217" s="5">
        <f t="shared" si="26"/>
        <v>1803400000</v>
      </c>
      <c r="H217" s="5">
        <f t="shared" si="23"/>
        <v>928000000</v>
      </c>
      <c r="I217" s="5">
        <f t="shared" si="24"/>
        <v>1803400000</v>
      </c>
      <c r="J217" s="5">
        <f t="shared" si="25"/>
        <v>1972000000</v>
      </c>
    </row>
    <row r="218" spans="3:10" x14ac:dyDescent="0.3">
      <c r="C218" s="2">
        <v>45143</v>
      </c>
      <c r="F218" s="5">
        <f t="shared" si="26"/>
        <v>1813800000</v>
      </c>
      <c r="H218" s="5">
        <f t="shared" si="23"/>
        <v>928000000</v>
      </c>
      <c r="I218" s="5">
        <f t="shared" si="24"/>
        <v>1813800000</v>
      </c>
      <c r="J218" s="5">
        <f t="shared" si="25"/>
        <v>1972000000</v>
      </c>
    </row>
    <row r="219" spans="3:10" x14ac:dyDescent="0.3">
      <c r="C219" s="2">
        <v>45144</v>
      </c>
      <c r="F219" s="5">
        <f t="shared" si="26"/>
        <v>1824200000</v>
      </c>
      <c r="H219" s="5">
        <f t="shared" si="23"/>
        <v>928000000</v>
      </c>
      <c r="I219" s="5">
        <f t="shared" si="24"/>
        <v>1824200000</v>
      </c>
      <c r="J219" s="5">
        <f t="shared" si="25"/>
        <v>1972000000</v>
      </c>
    </row>
    <row r="220" spans="3:10" x14ac:dyDescent="0.3">
      <c r="C220" s="2">
        <v>45145</v>
      </c>
      <c r="F220" s="5">
        <f t="shared" si="26"/>
        <v>1834600000</v>
      </c>
      <c r="H220" s="5">
        <f t="shared" si="23"/>
        <v>928000000</v>
      </c>
      <c r="I220" s="5">
        <f t="shared" si="24"/>
        <v>1834600000</v>
      </c>
      <c r="J220" s="5">
        <f t="shared" si="25"/>
        <v>1972000000</v>
      </c>
    </row>
    <row r="221" spans="3:10" x14ac:dyDescent="0.3">
      <c r="C221" s="2">
        <v>45146</v>
      </c>
      <c r="F221" s="5">
        <f t="shared" si="26"/>
        <v>1845000000</v>
      </c>
      <c r="H221" s="5">
        <f t="shared" si="23"/>
        <v>928000000</v>
      </c>
      <c r="I221" s="5">
        <f t="shared" si="24"/>
        <v>1845000000</v>
      </c>
      <c r="J221" s="5">
        <f t="shared" si="25"/>
        <v>1972000000</v>
      </c>
    </row>
    <row r="222" spans="3:10" x14ac:dyDescent="0.3">
      <c r="C222" s="2">
        <v>45147</v>
      </c>
      <c r="F222" s="5">
        <f t="shared" si="26"/>
        <v>1855400000</v>
      </c>
      <c r="H222" s="5">
        <f t="shared" si="23"/>
        <v>928000000</v>
      </c>
      <c r="I222" s="5">
        <f t="shared" si="24"/>
        <v>1855400000</v>
      </c>
      <c r="J222" s="5">
        <f t="shared" si="25"/>
        <v>1972000000</v>
      </c>
    </row>
    <row r="223" spans="3:10" x14ac:dyDescent="0.3">
      <c r="C223" s="2">
        <v>45148</v>
      </c>
      <c r="F223" s="5">
        <f t="shared" si="26"/>
        <v>1865800000</v>
      </c>
      <c r="H223" s="5">
        <f t="shared" si="23"/>
        <v>928000000</v>
      </c>
      <c r="I223" s="5">
        <f t="shared" si="24"/>
        <v>1865800000</v>
      </c>
      <c r="J223" s="5">
        <f t="shared" si="25"/>
        <v>1972000000</v>
      </c>
    </row>
    <row r="224" spans="3:10" x14ac:dyDescent="0.3">
      <c r="C224" s="2">
        <v>45149</v>
      </c>
      <c r="F224" s="5">
        <f t="shared" si="26"/>
        <v>1876200000</v>
      </c>
      <c r="H224" s="5">
        <f t="shared" si="23"/>
        <v>928000000</v>
      </c>
      <c r="I224" s="5">
        <f t="shared" si="24"/>
        <v>1876200000</v>
      </c>
      <c r="J224" s="5">
        <f t="shared" si="25"/>
        <v>1972000000</v>
      </c>
    </row>
    <row r="225" spans="3:10" x14ac:dyDescent="0.3">
      <c r="C225" s="2">
        <v>45150</v>
      </c>
      <c r="F225" s="5">
        <f t="shared" si="26"/>
        <v>1886600000</v>
      </c>
      <c r="H225" s="5">
        <f t="shared" si="23"/>
        <v>928000000</v>
      </c>
      <c r="I225" s="5">
        <f t="shared" si="24"/>
        <v>1886600000</v>
      </c>
      <c r="J225" s="5">
        <f t="shared" si="25"/>
        <v>1972000000</v>
      </c>
    </row>
    <row r="226" spans="3:10" x14ac:dyDescent="0.3">
      <c r="C226" s="2">
        <v>45151</v>
      </c>
      <c r="F226" s="5">
        <f t="shared" si="26"/>
        <v>1897000000</v>
      </c>
      <c r="H226" s="5">
        <f t="shared" si="23"/>
        <v>928000000</v>
      </c>
      <c r="I226" s="5">
        <f t="shared" si="24"/>
        <v>1897000000</v>
      </c>
      <c r="J226" s="5">
        <f t="shared" si="25"/>
        <v>1972000000</v>
      </c>
    </row>
    <row r="227" spans="3:10" x14ac:dyDescent="0.3">
      <c r="C227" s="2">
        <v>45152</v>
      </c>
      <c r="F227" s="5">
        <f t="shared" si="26"/>
        <v>1907400000</v>
      </c>
      <c r="H227" s="5">
        <f t="shared" si="23"/>
        <v>928000000</v>
      </c>
      <c r="I227" s="5">
        <f t="shared" si="24"/>
        <v>1907400000</v>
      </c>
      <c r="J227" s="5">
        <f t="shared" si="25"/>
        <v>1972000000</v>
      </c>
    </row>
    <row r="228" spans="3:10" x14ac:dyDescent="0.3">
      <c r="C228" s="2">
        <v>45153</v>
      </c>
      <c r="F228" s="5">
        <f t="shared" si="26"/>
        <v>1917800000</v>
      </c>
      <c r="H228" s="5">
        <f t="shared" si="23"/>
        <v>928000000</v>
      </c>
      <c r="I228" s="5">
        <f t="shared" si="24"/>
        <v>1917800000</v>
      </c>
      <c r="J228" s="5">
        <f t="shared" si="25"/>
        <v>1972000000</v>
      </c>
    </row>
    <row r="229" spans="3:10" x14ac:dyDescent="0.3">
      <c r="C229" s="2">
        <v>45154</v>
      </c>
      <c r="F229" s="5">
        <f t="shared" si="26"/>
        <v>1928200000</v>
      </c>
      <c r="H229" s="5">
        <f t="shared" si="23"/>
        <v>928000000</v>
      </c>
      <c r="I229" s="5">
        <f t="shared" si="24"/>
        <v>1928200000</v>
      </c>
      <c r="J229" s="5">
        <f t="shared" si="25"/>
        <v>1972000000</v>
      </c>
    </row>
    <row r="230" spans="3:10" x14ac:dyDescent="0.3">
      <c r="C230" s="2">
        <v>45155</v>
      </c>
      <c r="F230" s="5">
        <f t="shared" si="26"/>
        <v>1932400000</v>
      </c>
      <c r="H230" s="5">
        <f t="shared" si="23"/>
        <v>934400000</v>
      </c>
      <c r="I230" s="5">
        <f t="shared" si="24"/>
        <v>1932400000</v>
      </c>
      <c r="J230" s="5">
        <f t="shared" si="25"/>
        <v>1972000000</v>
      </c>
    </row>
    <row r="231" spans="3:10" x14ac:dyDescent="0.3">
      <c r="C231" s="2">
        <v>45156</v>
      </c>
      <c r="F231" s="5">
        <f t="shared" si="26"/>
        <v>1932400000</v>
      </c>
      <c r="H231" s="5">
        <f t="shared" si="23"/>
        <v>944800000</v>
      </c>
      <c r="I231" s="5">
        <f t="shared" si="24"/>
        <v>1932400000</v>
      </c>
      <c r="J231" s="5">
        <f t="shared" si="25"/>
        <v>1972000000</v>
      </c>
    </row>
    <row r="232" spans="3:10" x14ac:dyDescent="0.3">
      <c r="C232" s="2">
        <v>45157</v>
      </c>
      <c r="F232" s="5">
        <f t="shared" si="26"/>
        <v>1932400000</v>
      </c>
      <c r="H232" s="5">
        <f t="shared" si="23"/>
        <v>955200000</v>
      </c>
      <c r="I232" s="5">
        <f t="shared" si="24"/>
        <v>1932400000</v>
      </c>
      <c r="J232" s="5">
        <f t="shared" si="25"/>
        <v>1972000000</v>
      </c>
    </row>
    <row r="233" spans="3:10" x14ac:dyDescent="0.3">
      <c r="C233" s="2">
        <v>45158</v>
      </c>
      <c r="F233" s="5">
        <f t="shared" si="26"/>
        <v>1932400000</v>
      </c>
      <c r="H233" s="5">
        <f t="shared" si="23"/>
        <v>965600000</v>
      </c>
      <c r="I233" s="5">
        <f t="shared" si="24"/>
        <v>1932400000</v>
      </c>
      <c r="J233" s="5">
        <f t="shared" si="25"/>
        <v>1972000000</v>
      </c>
    </row>
    <row r="234" spans="3:10" x14ac:dyDescent="0.3">
      <c r="C234" s="2">
        <v>45159</v>
      </c>
      <c r="F234" s="5">
        <f t="shared" si="26"/>
        <v>1932400000</v>
      </c>
      <c r="H234" s="5">
        <f t="shared" si="23"/>
        <v>976000000</v>
      </c>
      <c r="I234" s="5">
        <f t="shared" si="24"/>
        <v>1932400000</v>
      </c>
      <c r="J234" s="5">
        <f t="shared" si="25"/>
        <v>1972000000</v>
      </c>
    </row>
    <row r="235" spans="3:10" x14ac:dyDescent="0.3">
      <c r="C235" s="2">
        <v>45160</v>
      </c>
      <c r="F235" s="5">
        <f t="shared" si="26"/>
        <v>1932400000</v>
      </c>
      <c r="H235" s="5">
        <f t="shared" si="23"/>
        <v>986400000</v>
      </c>
      <c r="I235" s="5">
        <f t="shared" si="24"/>
        <v>1932400000</v>
      </c>
      <c r="J235" s="5">
        <f t="shared" si="25"/>
        <v>1972000000</v>
      </c>
    </row>
    <row r="236" spans="3:10" x14ac:dyDescent="0.3">
      <c r="C236" s="2">
        <v>45161</v>
      </c>
      <c r="F236" s="5">
        <f t="shared" si="26"/>
        <v>1932400000</v>
      </c>
      <c r="H236" s="5">
        <f t="shared" si="23"/>
        <v>996800000</v>
      </c>
      <c r="I236" s="5">
        <f t="shared" si="24"/>
        <v>1932400000</v>
      </c>
      <c r="J236" s="5">
        <f t="shared" si="25"/>
        <v>1972000000</v>
      </c>
    </row>
    <row r="237" spans="3:10" x14ac:dyDescent="0.3">
      <c r="C237" s="2">
        <v>45162</v>
      </c>
      <c r="F237" s="5">
        <f t="shared" si="26"/>
        <v>1932400000</v>
      </c>
      <c r="H237" s="5">
        <f t="shared" si="23"/>
        <v>1007200000</v>
      </c>
      <c r="I237" s="5">
        <f t="shared" si="24"/>
        <v>1932400000</v>
      </c>
      <c r="J237" s="5">
        <f t="shared" si="25"/>
        <v>1972000000</v>
      </c>
    </row>
    <row r="238" spans="3:10" x14ac:dyDescent="0.3">
      <c r="C238" s="2">
        <v>45163</v>
      </c>
      <c r="F238" s="5">
        <f t="shared" si="26"/>
        <v>1932400000</v>
      </c>
      <c r="H238" s="5">
        <f t="shared" si="23"/>
        <v>1017600000</v>
      </c>
      <c r="I238" s="5">
        <f t="shared" si="24"/>
        <v>1932400000</v>
      </c>
      <c r="J238" s="5">
        <f t="shared" si="25"/>
        <v>1972000000</v>
      </c>
    </row>
    <row r="239" spans="3:10" x14ac:dyDescent="0.3">
      <c r="C239" s="2">
        <v>45164</v>
      </c>
      <c r="F239" s="5">
        <f t="shared" si="26"/>
        <v>1932400000</v>
      </c>
      <c r="H239" s="5">
        <f t="shared" si="23"/>
        <v>1028000000</v>
      </c>
      <c r="I239" s="5">
        <f t="shared" si="24"/>
        <v>1932400000</v>
      </c>
      <c r="J239" s="5">
        <f t="shared" si="25"/>
        <v>1972000000</v>
      </c>
    </row>
    <row r="240" spans="3:10" x14ac:dyDescent="0.3">
      <c r="C240" s="2">
        <v>45165</v>
      </c>
      <c r="F240" s="5">
        <f t="shared" si="26"/>
        <v>1932400000</v>
      </c>
      <c r="H240" s="5">
        <f t="shared" si="23"/>
        <v>1038400000</v>
      </c>
      <c r="I240" s="5">
        <f t="shared" si="24"/>
        <v>1932400000</v>
      </c>
      <c r="J240" s="5">
        <f t="shared" si="25"/>
        <v>1972000000</v>
      </c>
    </row>
    <row r="241" spans="3:10" x14ac:dyDescent="0.3">
      <c r="C241" s="2">
        <v>45166</v>
      </c>
      <c r="F241" s="5">
        <f t="shared" si="26"/>
        <v>1932400000</v>
      </c>
      <c r="H241" s="5">
        <f t="shared" si="23"/>
        <v>1048800000</v>
      </c>
      <c r="I241" s="5">
        <f t="shared" si="24"/>
        <v>1932400000</v>
      </c>
      <c r="J241" s="5">
        <f t="shared" si="25"/>
        <v>1972000000</v>
      </c>
    </row>
    <row r="242" spans="3:10" x14ac:dyDescent="0.3">
      <c r="C242" s="2">
        <v>45167</v>
      </c>
      <c r="F242" s="5">
        <f t="shared" si="26"/>
        <v>1932400000</v>
      </c>
      <c r="H242" s="5">
        <f t="shared" si="23"/>
        <v>1059200000</v>
      </c>
      <c r="I242" s="5">
        <f t="shared" si="24"/>
        <v>1932400000</v>
      </c>
      <c r="J242" s="5">
        <f t="shared" si="25"/>
        <v>1972000000</v>
      </c>
    </row>
    <row r="243" spans="3:10" x14ac:dyDescent="0.3">
      <c r="C243" s="2">
        <v>45168</v>
      </c>
      <c r="F243" s="5">
        <f t="shared" si="26"/>
        <v>1932400000</v>
      </c>
      <c r="H243" s="5">
        <f t="shared" si="23"/>
        <v>1069600000</v>
      </c>
      <c r="I243" s="5">
        <f t="shared" si="24"/>
        <v>1932400000</v>
      </c>
      <c r="J243" s="5">
        <f t="shared" si="25"/>
        <v>1972000000</v>
      </c>
    </row>
    <row r="244" spans="3:10" x14ac:dyDescent="0.3">
      <c r="C244" s="2">
        <v>45169</v>
      </c>
      <c r="F244" s="5">
        <f t="shared" si="26"/>
        <v>1932400000</v>
      </c>
      <c r="H244" s="5">
        <f t="shared" si="23"/>
        <v>1080000000</v>
      </c>
      <c r="I244" s="5">
        <f t="shared" si="24"/>
        <v>1932400000</v>
      </c>
      <c r="J244" s="5">
        <f t="shared" si="25"/>
        <v>1972000000</v>
      </c>
    </row>
    <row r="245" spans="3:10" x14ac:dyDescent="0.3">
      <c r="C245" s="2">
        <v>45170</v>
      </c>
      <c r="F245" s="5">
        <f t="shared" si="26"/>
        <v>1932400000</v>
      </c>
      <c r="H245" s="5">
        <f t="shared" si="23"/>
        <v>1090400000</v>
      </c>
      <c r="I245" s="5">
        <f t="shared" si="24"/>
        <v>1932400000</v>
      </c>
      <c r="J245" s="5">
        <f t="shared" si="25"/>
        <v>1972000000</v>
      </c>
    </row>
    <row r="246" spans="3:10" x14ac:dyDescent="0.3">
      <c r="C246" s="2">
        <v>45171</v>
      </c>
      <c r="F246" s="5">
        <f t="shared" si="26"/>
        <v>1932400000</v>
      </c>
      <c r="H246" s="5">
        <f t="shared" si="23"/>
        <v>1100800000</v>
      </c>
      <c r="I246" s="5">
        <f t="shared" si="24"/>
        <v>1932400000</v>
      </c>
      <c r="J246" s="5">
        <f t="shared" si="25"/>
        <v>1972000000</v>
      </c>
    </row>
    <row r="247" spans="3:10" x14ac:dyDescent="0.3">
      <c r="C247" s="2">
        <v>45172</v>
      </c>
      <c r="F247" s="5">
        <f t="shared" si="26"/>
        <v>1932400000</v>
      </c>
      <c r="H247" s="5">
        <f t="shared" si="23"/>
        <v>1111200000</v>
      </c>
      <c r="I247" s="5">
        <f t="shared" si="24"/>
        <v>1932400000</v>
      </c>
      <c r="J247" s="5">
        <f t="shared" si="25"/>
        <v>1972000000</v>
      </c>
    </row>
    <row r="248" spans="3:10" x14ac:dyDescent="0.3">
      <c r="C248" s="2">
        <v>45173</v>
      </c>
      <c r="F248" s="5">
        <f t="shared" ref="F248:F274" si="27">MIN(IF((F247+$L$8)&gt;($E$182+$L$6),$E$182+$L$6,F247+$L$8),$L$2-$L$7)</f>
        <v>1932400000</v>
      </c>
      <c r="H248" s="5">
        <f t="shared" ref="H248:H273" si="28">MAX($L$7,IF((H249-$L$8)&gt;0,H249-$L$8,0))</f>
        <v>1121600000</v>
      </c>
      <c r="I248" s="5">
        <f t="shared" ref="I248:I274" si="29">F248</f>
        <v>1932400000</v>
      </c>
      <c r="J248" s="5">
        <f t="shared" ref="J248:J274" si="30">IF(J247+$L$8+$L$9&lt;$L$2-$L$7,J247+$L$8+$L$9,$L$2-$L$7)</f>
        <v>1972000000</v>
      </c>
    </row>
    <row r="249" spans="3:10" x14ac:dyDescent="0.3">
      <c r="C249" s="2">
        <v>45174</v>
      </c>
      <c r="F249" s="5">
        <f t="shared" si="27"/>
        <v>1932400000</v>
      </c>
      <c r="H249" s="5">
        <f t="shared" si="28"/>
        <v>1132000000</v>
      </c>
      <c r="I249" s="5">
        <f t="shared" si="29"/>
        <v>1932400000</v>
      </c>
      <c r="J249" s="5">
        <f t="shared" si="30"/>
        <v>1972000000</v>
      </c>
    </row>
    <row r="250" spans="3:10" x14ac:dyDescent="0.3">
      <c r="C250" s="2">
        <v>45175</v>
      </c>
      <c r="F250" s="5">
        <f t="shared" si="27"/>
        <v>1932400000</v>
      </c>
      <c r="H250" s="5">
        <f t="shared" si="28"/>
        <v>1142400000</v>
      </c>
      <c r="I250" s="5">
        <f t="shared" si="29"/>
        <v>1932400000</v>
      </c>
      <c r="J250" s="5">
        <f t="shared" si="30"/>
        <v>1972000000</v>
      </c>
    </row>
    <row r="251" spans="3:10" x14ac:dyDescent="0.3">
      <c r="C251" s="2">
        <v>45176</v>
      </c>
      <c r="F251" s="5">
        <f t="shared" si="27"/>
        <v>1932400000</v>
      </c>
      <c r="H251" s="5">
        <f t="shared" si="28"/>
        <v>1152800000</v>
      </c>
      <c r="I251" s="5">
        <f t="shared" si="29"/>
        <v>1932400000</v>
      </c>
      <c r="J251" s="5">
        <f t="shared" si="30"/>
        <v>1972000000</v>
      </c>
    </row>
    <row r="252" spans="3:10" x14ac:dyDescent="0.3">
      <c r="C252" s="2">
        <v>45177</v>
      </c>
      <c r="F252" s="5">
        <f t="shared" si="27"/>
        <v>1932400000</v>
      </c>
      <c r="H252" s="5">
        <f t="shared" si="28"/>
        <v>1163200000</v>
      </c>
      <c r="I252" s="5">
        <f t="shared" si="29"/>
        <v>1932400000</v>
      </c>
      <c r="J252" s="5">
        <f t="shared" si="30"/>
        <v>1972000000</v>
      </c>
    </row>
    <row r="253" spans="3:10" x14ac:dyDescent="0.3">
      <c r="C253" s="2">
        <v>45178</v>
      </c>
      <c r="F253" s="5">
        <f t="shared" si="27"/>
        <v>1932400000</v>
      </c>
      <c r="H253" s="5">
        <f t="shared" si="28"/>
        <v>1173600000</v>
      </c>
      <c r="I253" s="5">
        <f t="shared" si="29"/>
        <v>1932400000</v>
      </c>
      <c r="J253" s="5">
        <f t="shared" si="30"/>
        <v>1972000000</v>
      </c>
    </row>
    <row r="254" spans="3:10" x14ac:dyDescent="0.3">
      <c r="C254" s="2">
        <v>45179</v>
      </c>
      <c r="F254" s="5">
        <f t="shared" si="27"/>
        <v>1932400000</v>
      </c>
      <c r="H254" s="5">
        <f t="shared" si="28"/>
        <v>1184000000</v>
      </c>
      <c r="I254" s="5">
        <f t="shared" si="29"/>
        <v>1932400000</v>
      </c>
      <c r="J254" s="5">
        <f t="shared" si="30"/>
        <v>1972000000</v>
      </c>
    </row>
    <row r="255" spans="3:10" x14ac:dyDescent="0.3">
      <c r="C255" s="2">
        <v>45180</v>
      </c>
      <c r="F255" s="5">
        <f t="shared" si="27"/>
        <v>1932400000</v>
      </c>
      <c r="H255" s="5">
        <f t="shared" si="28"/>
        <v>1194400000</v>
      </c>
      <c r="I255" s="5">
        <f t="shared" si="29"/>
        <v>1932400000</v>
      </c>
      <c r="J255" s="5">
        <f t="shared" si="30"/>
        <v>1972000000</v>
      </c>
    </row>
    <row r="256" spans="3:10" x14ac:dyDescent="0.3">
      <c r="C256" s="2">
        <v>45181</v>
      </c>
      <c r="F256" s="5">
        <f t="shared" si="27"/>
        <v>1932400000</v>
      </c>
      <c r="H256" s="5">
        <f t="shared" si="28"/>
        <v>1204800000</v>
      </c>
      <c r="I256" s="5">
        <f t="shared" si="29"/>
        <v>1932400000</v>
      </c>
      <c r="J256" s="5">
        <f t="shared" si="30"/>
        <v>1972000000</v>
      </c>
    </row>
    <row r="257" spans="3:10" x14ac:dyDescent="0.3">
      <c r="C257" s="2">
        <v>45182</v>
      </c>
      <c r="F257" s="5">
        <f t="shared" si="27"/>
        <v>1932400000</v>
      </c>
      <c r="H257" s="5">
        <f t="shared" si="28"/>
        <v>1215200000</v>
      </c>
      <c r="I257" s="5">
        <f t="shared" si="29"/>
        <v>1932400000</v>
      </c>
      <c r="J257" s="5">
        <f t="shared" si="30"/>
        <v>1972000000</v>
      </c>
    </row>
    <row r="258" spans="3:10" x14ac:dyDescent="0.3">
      <c r="C258" s="2">
        <v>45183</v>
      </c>
      <c r="F258" s="5">
        <f t="shared" si="27"/>
        <v>1932400000</v>
      </c>
      <c r="H258" s="5">
        <f t="shared" si="28"/>
        <v>1225600000</v>
      </c>
      <c r="I258" s="5">
        <f t="shared" si="29"/>
        <v>1932400000</v>
      </c>
      <c r="J258" s="5">
        <f t="shared" si="30"/>
        <v>1972000000</v>
      </c>
    </row>
    <row r="259" spans="3:10" x14ac:dyDescent="0.3">
      <c r="C259" s="2">
        <v>45184</v>
      </c>
      <c r="F259" s="5">
        <f t="shared" si="27"/>
        <v>1932400000</v>
      </c>
      <c r="H259" s="5">
        <f t="shared" si="28"/>
        <v>1236000000</v>
      </c>
      <c r="I259" s="5">
        <f t="shared" si="29"/>
        <v>1932400000</v>
      </c>
      <c r="J259" s="5">
        <f t="shared" si="30"/>
        <v>1972000000</v>
      </c>
    </row>
    <row r="260" spans="3:10" x14ac:dyDescent="0.3">
      <c r="C260" s="2">
        <v>45185</v>
      </c>
      <c r="F260" s="5">
        <f t="shared" si="27"/>
        <v>1932400000</v>
      </c>
      <c r="H260" s="5">
        <f t="shared" si="28"/>
        <v>1246400000</v>
      </c>
      <c r="I260" s="5">
        <f t="shared" si="29"/>
        <v>1932400000</v>
      </c>
      <c r="J260" s="5">
        <f t="shared" si="30"/>
        <v>1972000000</v>
      </c>
    </row>
    <row r="261" spans="3:10" x14ac:dyDescent="0.3">
      <c r="C261" s="2">
        <v>45186</v>
      </c>
      <c r="F261" s="5">
        <f t="shared" si="27"/>
        <v>1932400000</v>
      </c>
      <c r="H261" s="5">
        <f t="shared" si="28"/>
        <v>1256800000</v>
      </c>
      <c r="I261" s="5">
        <f t="shared" si="29"/>
        <v>1932400000</v>
      </c>
      <c r="J261" s="5">
        <f t="shared" si="30"/>
        <v>1972000000</v>
      </c>
    </row>
    <row r="262" spans="3:10" x14ac:dyDescent="0.3">
      <c r="C262" s="2">
        <v>45187</v>
      </c>
      <c r="F262" s="5">
        <f t="shared" si="27"/>
        <v>1932400000</v>
      </c>
      <c r="H262" s="5">
        <f t="shared" si="28"/>
        <v>1267200000</v>
      </c>
      <c r="I262" s="5">
        <f t="shared" si="29"/>
        <v>1932400000</v>
      </c>
      <c r="J262" s="5">
        <f t="shared" si="30"/>
        <v>1972000000</v>
      </c>
    </row>
    <row r="263" spans="3:10" x14ac:dyDescent="0.3">
      <c r="C263" s="2">
        <v>45188</v>
      </c>
      <c r="F263" s="5">
        <f t="shared" si="27"/>
        <v>1932400000</v>
      </c>
      <c r="H263" s="5">
        <f t="shared" si="28"/>
        <v>1277600000</v>
      </c>
      <c r="I263" s="5">
        <f t="shared" si="29"/>
        <v>1932400000</v>
      </c>
      <c r="J263" s="5">
        <f t="shared" si="30"/>
        <v>1972000000</v>
      </c>
    </row>
    <row r="264" spans="3:10" x14ac:dyDescent="0.3">
      <c r="C264" s="2">
        <v>45189</v>
      </c>
      <c r="F264" s="5">
        <f t="shared" si="27"/>
        <v>1932400000</v>
      </c>
      <c r="H264" s="5">
        <f t="shared" si="28"/>
        <v>1288000000</v>
      </c>
      <c r="I264" s="5">
        <f t="shared" si="29"/>
        <v>1932400000</v>
      </c>
      <c r="J264" s="5">
        <f t="shared" si="30"/>
        <v>1972000000</v>
      </c>
    </row>
    <row r="265" spans="3:10" x14ac:dyDescent="0.3">
      <c r="C265" s="2">
        <v>45190</v>
      </c>
      <c r="F265" s="5">
        <f t="shared" si="27"/>
        <v>1932400000</v>
      </c>
      <c r="H265" s="5">
        <f t="shared" si="28"/>
        <v>1298400000</v>
      </c>
      <c r="I265" s="5">
        <f t="shared" si="29"/>
        <v>1932400000</v>
      </c>
      <c r="J265" s="5">
        <f t="shared" si="30"/>
        <v>1972000000</v>
      </c>
    </row>
    <row r="266" spans="3:10" x14ac:dyDescent="0.3">
      <c r="C266" s="2">
        <v>45191</v>
      </c>
      <c r="F266" s="5">
        <f t="shared" si="27"/>
        <v>1932400000</v>
      </c>
      <c r="H266" s="5">
        <f t="shared" si="28"/>
        <v>1308800000</v>
      </c>
      <c r="I266" s="5">
        <f t="shared" si="29"/>
        <v>1932400000</v>
      </c>
      <c r="J266" s="5">
        <f t="shared" si="30"/>
        <v>1972000000</v>
      </c>
    </row>
    <row r="267" spans="3:10" x14ac:dyDescent="0.3">
      <c r="C267" s="2">
        <v>45192</v>
      </c>
      <c r="F267" s="5">
        <f t="shared" si="27"/>
        <v>1932400000</v>
      </c>
      <c r="H267" s="5">
        <f t="shared" si="28"/>
        <v>1319200000</v>
      </c>
      <c r="I267" s="5">
        <f t="shared" si="29"/>
        <v>1932400000</v>
      </c>
      <c r="J267" s="5">
        <f t="shared" si="30"/>
        <v>1972000000</v>
      </c>
    </row>
    <row r="268" spans="3:10" x14ac:dyDescent="0.3">
      <c r="C268" s="2">
        <v>45193</v>
      </c>
      <c r="F268" s="5">
        <f t="shared" si="27"/>
        <v>1932400000</v>
      </c>
      <c r="H268" s="5">
        <f t="shared" si="28"/>
        <v>1329600000</v>
      </c>
      <c r="I268" s="5">
        <f t="shared" si="29"/>
        <v>1932400000</v>
      </c>
      <c r="J268" s="5">
        <f t="shared" si="30"/>
        <v>1972000000</v>
      </c>
    </row>
    <row r="269" spans="3:10" x14ac:dyDescent="0.3">
      <c r="C269" s="2">
        <v>45194</v>
      </c>
      <c r="F269" s="5">
        <f t="shared" si="27"/>
        <v>1932400000</v>
      </c>
      <c r="H269" s="5">
        <f t="shared" si="28"/>
        <v>1340000000</v>
      </c>
      <c r="I269" s="5">
        <f t="shared" si="29"/>
        <v>1932400000</v>
      </c>
      <c r="J269" s="5">
        <f t="shared" si="30"/>
        <v>1972000000</v>
      </c>
    </row>
    <row r="270" spans="3:10" x14ac:dyDescent="0.3">
      <c r="C270" s="2">
        <v>45195</v>
      </c>
      <c r="F270" s="5">
        <f t="shared" si="27"/>
        <v>1932400000</v>
      </c>
      <c r="H270" s="5">
        <f t="shared" si="28"/>
        <v>1350400000</v>
      </c>
      <c r="I270" s="5">
        <f t="shared" si="29"/>
        <v>1932400000</v>
      </c>
      <c r="J270" s="5">
        <f t="shared" si="30"/>
        <v>1972000000</v>
      </c>
    </row>
    <row r="271" spans="3:10" x14ac:dyDescent="0.3">
      <c r="C271" s="2">
        <v>45196</v>
      </c>
      <c r="F271" s="5">
        <f t="shared" si="27"/>
        <v>1932400000</v>
      </c>
      <c r="H271" s="5">
        <f t="shared" si="28"/>
        <v>1360800000</v>
      </c>
      <c r="I271" s="5">
        <f t="shared" si="29"/>
        <v>1932400000</v>
      </c>
      <c r="J271" s="5">
        <f t="shared" si="30"/>
        <v>1972000000</v>
      </c>
    </row>
    <row r="272" spans="3:10" x14ac:dyDescent="0.3">
      <c r="C272" s="2">
        <v>45197</v>
      </c>
      <c r="F272" s="5">
        <f t="shared" si="27"/>
        <v>1932400000</v>
      </c>
      <c r="H272" s="5">
        <f t="shared" si="28"/>
        <v>1371200000</v>
      </c>
      <c r="I272" s="5">
        <f t="shared" si="29"/>
        <v>1932400000</v>
      </c>
      <c r="J272" s="5">
        <f t="shared" si="30"/>
        <v>1972000000</v>
      </c>
    </row>
    <row r="273" spans="2:10" x14ac:dyDescent="0.3">
      <c r="C273" s="2">
        <v>45198</v>
      </c>
      <c r="F273" s="5">
        <f t="shared" si="27"/>
        <v>1932400000</v>
      </c>
      <c r="H273" s="5">
        <f t="shared" si="28"/>
        <v>1381600000</v>
      </c>
      <c r="I273" s="5">
        <f t="shared" si="29"/>
        <v>1932400000</v>
      </c>
      <c r="J273" s="5">
        <f t="shared" si="30"/>
        <v>1972000000</v>
      </c>
    </row>
    <row r="274" spans="2:10" x14ac:dyDescent="0.3">
      <c r="C274" s="2">
        <v>45199</v>
      </c>
      <c r="F274" s="5">
        <f t="shared" si="27"/>
        <v>1932400000</v>
      </c>
      <c r="H274" s="5">
        <f>$L$3-$L$7</f>
        <v>1392000000</v>
      </c>
      <c r="I274" s="5">
        <f t="shared" si="29"/>
        <v>1932400000</v>
      </c>
      <c r="J274" s="5">
        <f t="shared" si="30"/>
        <v>1972000000</v>
      </c>
    </row>
    <row r="275" spans="2:10" x14ac:dyDescent="0.3">
      <c r="B275" t="s">
        <v>4</v>
      </c>
      <c r="C275" s="1">
        <v>45200</v>
      </c>
      <c r="G275" s="5">
        <f>F274+$L$8</f>
        <v>1942800000</v>
      </c>
      <c r="H275" s="5">
        <f t="shared" ref="H275:H338" si="31">MAX($L$7,IF((H276-22000000)&gt;$L$3-$L$7,H276-22000000,$L$3-$L$7))</f>
        <v>1392000000</v>
      </c>
      <c r="I275" s="5">
        <f>G275</f>
        <v>1942800000</v>
      </c>
      <c r="J275" s="5">
        <f>J274+$L$8+$L$9</f>
        <v>1992000000</v>
      </c>
    </row>
    <row r="276" spans="2:10" x14ac:dyDescent="0.3">
      <c r="C276" s="1">
        <v>45201</v>
      </c>
      <c r="G276" s="5">
        <f>IF(G275+$L$8+$L$9&lt;$L$2,G275+$L$8+$L$9,$L$2)</f>
        <v>1962800000</v>
      </c>
      <c r="H276" s="5">
        <f t="shared" si="31"/>
        <v>1392000000</v>
      </c>
      <c r="I276" s="5">
        <f t="shared" ref="I276:I339" si="32">G276</f>
        <v>1962800000</v>
      </c>
      <c r="J276" s="5">
        <f>IF(J275+$L$8+$L$9&lt;$L$2,J275+$L$8+$L$9,$L$2)</f>
        <v>2012000000</v>
      </c>
    </row>
    <row r="277" spans="2:10" x14ac:dyDescent="0.3">
      <c r="C277" s="1">
        <v>45202</v>
      </c>
      <c r="G277" s="5">
        <f t="shared" ref="G277:G340" si="33">IF(G276+$L$8+$L$9&lt;$L$2,G276+$L$8+$L$9,$L$2)</f>
        <v>1982800000</v>
      </c>
      <c r="H277" s="5">
        <f t="shared" si="31"/>
        <v>1392000000</v>
      </c>
      <c r="I277" s="5">
        <f t="shared" si="32"/>
        <v>1982800000</v>
      </c>
      <c r="J277" s="5">
        <f t="shared" ref="J277:J340" si="34">IF(J276+$L$8+$L$9&lt;$L$2,J276+$L$8+$L$9,$L$2)</f>
        <v>2032000000</v>
      </c>
    </row>
    <row r="278" spans="2:10" x14ac:dyDescent="0.3">
      <c r="C278" s="1">
        <v>45203</v>
      </c>
      <c r="G278" s="5">
        <f t="shared" si="33"/>
        <v>2002800000</v>
      </c>
      <c r="H278" s="5">
        <f t="shared" si="31"/>
        <v>1392000000</v>
      </c>
      <c r="I278" s="5">
        <f t="shared" si="32"/>
        <v>2002800000</v>
      </c>
      <c r="J278" s="5">
        <f t="shared" si="34"/>
        <v>2052000000</v>
      </c>
    </row>
    <row r="279" spans="2:10" x14ac:dyDescent="0.3">
      <c r="C279" s="1">
        <v>45204</v>
      </c>
      <c r="G279" s="5">
        <f t="shared" si="33"/>
        <v>2022800000</v>
      </c>
      <c r="H279" s="5">
        <f t="shared" si="31"/>
        <v>1392000000</v>
      </c>
      <c r="I279" s="5">
        <f t="shared" si="32"/>
        <v>2022800000</v>
      </c>
      <c r="J279" s="5">
        <f t="shared" si="34"/>
        <v>2072000000</v>
      </c>
    </row>
    <row r="280" spans="2:10" x14ac:dyDescent="0.3">
      <c r="C280" s="1">
        <v>45205</v>
      </c>
      <c r="G280" s="5">
        <f t="shared" si="33"/>
        <v>2042800000</v>
      </c>
      <c r="H280" s="5">
        <f t="shared" si="31"/>
        <v>1392000000</v>
      </c>
      <c r="I280" s="5">
        <f t="shared" si="32"/>
        <v>2042800000</v>
      </c>
      <c r="J280" s="5">
        <f t="shared" si="34"/>
        <v>2092000000</v>
      </c>
    </row>
    <row r="281" spans="2:10" x14ac:dyDescent="0.3">
      <c r="C281" s="1">
        <v>45206</v>
      </c>
      <c r="G281" s="5">
        <f t="shared" si="33"/>
        <v>2062800000</v>
      </c>
      <c r="H281" s="5">
        <f t="shared" si="31"/>
        <v>1392000000</v>
      </c>
      <c r="I281" s="5">
        <f t="shared" si="32"/>
        <v>2062800000</v>
      </c>
      <c r="J281" s="5">
        <f t="shared" si="34"/>
        <v>2112000000</v>
      </c>
    </row>
    <row r="282" spans="2:10" x14ac:dyDescent="0.3">
      <c r="C282" s="1">
        <v>45207</v>
      </c>
      <c r="G282" s="5">
        <f t="shared" si="33"/>
        <v>2082800000</v>
      </c>
      <c r="H282" s="5">
        <f t="shared" si="31"/>
        <v>1392000000</v>
      </c>
      <c r="I282" s="5">
        <f t="shared" si="32"/>
        <v>2082800000</v>
      </c>
      <c r="J282" s="5">
        <f t="shared" si="34"/>
        <v>2132000000</v>
      </c>
    </row>
    <row r="283" spans="2:10" x14ac:dyDescent="0.3">
      <c r="C283" s="1">
        <v>45208</v>
      </c>
      <c r="G283" s="5">
        <f t="shared" si="33"/>
        <v>2102800000</v>
      </c>
      <c r="H283" s="5">
        <f t="shared" si="31"/>
        <v>1392000000</v>
      </c>
      <c r="I283" s="5">
        <f t="shared" si="32"/>
        <v>2102800000</v>
      </c>
      <c r="J283" s="5">
        <f t="shared" si="34"/>
        <v>2152000000</v>
      </c>
    </row>
    <row r="284" spans="2:10" x14ac:dyDescent="0.3">
      <c r="C284" s="1">
        <v>45209</v>
      </c>
      <c r="G284" s="5">
        <f t="shared" si="33"/>
        <v>2122800000</v>
      </c>
      <c r="H284" s="5">
        <f t="shared" si="31"/>
        <v>1392000000</v>
      </c>
      <c r="I284" s="5">
        <f t="shared" si="32"/>
        <v>2122800000</v>
      </c>
      <c r="J284" s="5">
        <f t="shared" si="34"/>
        <v>2172000000</v>
      </c>
    </row>
    <row r="285" spans="2:10" x14ac:dyDescent="0.3">
      <c r="C285" s="1">
        <v>45210</v>
      </c>
      <c r="G285" s="5">
        <f t="shared" si="33"/>
        <v>2142800000</v>
      </c>
      <c r="H285" s="5">
        <f t="shared" si="31"/>
        <v>1392000000</v>
      </c>
      <c r="I285" s="5">
        <f t="shared" si="32"/>
        <v>2142800000</v>
      </c>
      <c r="J285" s="5">
        <f t="shared" si="34"/>
        <v>2192000000</v>
      </c>
    </row>
    <row r="286" spans="2:10" x14ac:dyDescent="0.3">
      <c r="C286" s="1">
        <v>45211</v>
      </c>
      <c r="G286" s="5">
        <f t="shared" si="33"/>
        <v>2162800000</v>
      </c>
      <c r="H286" s="5">
        <f t="shared" si="31"/>
        <v>1392000000</v>
      </c>
      <c r="I286" s="5">
        <f t="shared" si="32"/>
        <v>2162800000</v>
      </c>
      <c r="J286" s="5">
        <f t="shared" si="34"/>
        <v>2212000000</v>
      </c>
    </row>
    <row r="287" spans="2:10" x14ac:dyDescent="0.3">
      <c r="C287" s="1">
        <v>45212</v>
      </c>
      <c r="G287" s="5">
        <f t="shared" si="33"/>
        <v>2182800000</v>
      </c>
      <c r="H287" s="5">
        <f t="shared" si="31"/>
        <v>1392000000</v>
      </c>
      <c r="I287" s="5">
        <f t="shared" si="32"/>
        <v>2182800000</v>
      </c>
      <c r="J287" s="5">
        <f t="shared" si="34"/>
        <v>2232000000</v>
      </c>
    </row>
    <row r="288" spans="2:10" x14ac:dyDescent="0.3">
      <c r="C288" s="1">
        <v>45213</v>
      </c>
      <c r="G288" s="5">
        <f t="shared" si="33"/>
        <v>2202800000</v>
      </c>
      <c r="H288" s="5">
        <f t="shared" si="31"/>
        <v>1392000000</v>
      </c>
      <c r="I288" s="5">
        <f t="shared" si="32"/>
        <v>2202800000</v>
      </c>
      <c r="J288" s="5">
        <f t="shared" si="34"/>
        <v>2252000000</v>
      </c>
    </row>
    <row r="289" spans="3:10" x14ac:dyDescent="0.3">
      <c r="C289" s="1">
        <v>45214</v>
      </c>
      <c r="G289" s="5">
        <f t="shared" si="33"/>
        <v>2222800000</v>
      </c>
      <c r="H289" s="5">
        <f t="shared" si="31"/>
        <v>1392000000</v>
      </c>
      <c r="I289" s="5">
        <f t="shared" si="32"/>
        <v>2222800000</v>
      </c>
      <c r="J289" s="5">
        <f t="shared" si="34"/>
        <v>2272000000</v>
      </c>
    </row>
    <row r="290" spans="3:10" x14ac:dyDescent="0.3">
      <c r="C290" s="1">
        <v>45215</v>
      </c>
      <c r="G290" s="5">
        <f t="shared" si="33"/>
        <v>2242800000</v>
      </c>
      <c r="H290" s="5">
        <f t="shared" si="31"/>
        <v>1392000000</v>
      </c>
      <c r="I290" s="5">
        <f t="shared" si="32"/>
        <v>2242800000</v>
      </c>
      <c r="J290" s="5">
        <f t="shared" si="34"/>
        <v>2292000000</v>
      </c>
    </row>
    <row r="291" spans="3:10" x14ac:dyDescent="0.3">
      <c r="C291" s="1">
        <v>45216</v>
      </c>
      <c r="G291" s="5">
        <f t="shared" si="33"/>
        <v>2262800000</v>
      </c>
      <c r="H291" s="5">
        <f t="shared" si="31"/>
        <v>1392000000</v>
      </c>
      <c r="I291" s="5">
        <f t="shared" si="32"/>
        <v>2262800000</v>
      </c>
      <c r="J291" s="5">
        <f t="shared" si="34"/>
        <v>2312000000</v>
      </c>
    </row>
    <row r="292" spans="3:10" x14ac:dyDescent="0.3">
      <c r="C292" s="1">
        <v>45217</v>
      </c>
      <c r="G292" s="5">
        <f t="shared" si="33"/>
        <v>2282800000</v>
      </c>
      <c r="H292" s="5">
        <f t="shared" si="31"/>
        <v>1392000000</v>
      </c>
      <c r="I292" s="5">
        <f t="shared" si="32"/>
        <v>2282800000</v>
      </c>
      <c r="J292" s="5">
        <f t="shared" si="34"/>
        <v>2332000000</v>
      </c>
    </row>
    <row r="293" spans="3:10" x14ac:dyDescent="0.3">
      <c r="C293" s="1">
        <v>45218</v>
      </c>
      <c r="G293" s="5">
        <f t="shared" si="33"/>
        <v>2302800000</v>
      </c>
      <c r="H293" s="5">
        <f t="shared" si="31"/>
        <v>1392000000</v>
      </c>
      <c r="I293" s="5">
        <f t="shared" si="32"/>
        <v>2302800000</v>
      </c>
      <c r="J293" s="5">
        <f t="shared" si="34"/>
        <v>2352000000</v>
      </c>
    </row>
    <row r="294" spans="3:10" x14ac:dyDescent="0.3">
      <c r="C294" s="1">
        <v>45219</v>
      </c>
      <c r="G294" s="5">
        <f t="shared" si="33"/>
        <v>2322800000</v>
      </c>
      <c r="H294" s="5">
        <f t="shared" si="31"/>
        <v>1392000000</v>
      </c>
      <c r="I294" s="5">
        <f t="shared" si="32"/>
        <v>2322800000</v>
      </c>
      <c r="J294" s="5">
        <f t="shared" si="34"/>
        <v>2372000000</v>
      </c>
    </row>
    <row r="295" spans="3:10" x14ac:dyDescent="0.3">
      <c r="C295" s="1">
        <v>45220</v>
      </c>
      <c r="G295" s="5">
        <f t="shared" si="33"/>
        <v>2342800000</v>
      </c>
      <c r="H295" s="5">
        <f t="shared" si="31"/>
        <v>1392000000</v>
      </c>
      <c r="I295" s="5">
        <f t="shared" si="32"/>
        <v>2342800000</v>
      </c>
      <c r="J295" s="5">
        <f t="shared" si="34"/>
        <v>2392000000</v>
      </c>
    </row>
    <row r="296" spans="3:10" x14ac:dyDescent="0.3">
      <c r="C296" s="1">
        <v>45221</v>
      </c>
      <c r="G296" s="5">
        <f t="shared" si="33"/>
        <v>2362800000</v>
      </c>
      <c r="H296" s="5">
        <f t="shared" si="31"/>
        <v>1392000000</v>
      </c>
      <c r="I296" s="5">
        <f t="shared" si="32"/>
        <v>2362800000</v>
      </c>
      <c r="J296" s="5">
        <f t="shared" si="34"/>
        <v>2412000000</v>
      </c>
    </row>
    <row r="297" spans="3:10" x14ac:dyDescent="0.3">
      <c r="C297" s="1">
        <v>45222</v>
      </c>
      <c r="G297" s="5">
        <f t="shared" si="33"/>
        <v>2382800000</v>
      </c>
      <c r="H297" s="5">
        <f t="shared" si="31"/>
        <v>1392000000</v>
      </c>
      <c r="I297" s="5">
        <f t="shared" si="32"/>
        <v>2382800000</v>
      </c>
      <c r="J297" s="5">
        <f t="shared" si="34"/>
        <v>2432000000</v>
      </c>
    </row>
    <row r="298" spans="3:10" x14ac:dyDescent="0.3">
      <c r="C298" s="1">
        <v>45223</v>
      </c>
      <c r="G298" s="5">
        <f t="shared" si="33"/>
        <v>2402800000</v>
      </c>
      <c r="H298" s="5">
        <f t="shared" si="31"/>
        <v>1392000000</v>
      </c>
      <c r="I298" s="5">
        <f t="shared" si="32"/>
        <v>2402800000</v>
      </c>
      <c r="J298" s="5">
        <f t="shared" si="34"/>
        <v>2452000000</v>
      </c>
    </row>
    <row r="299" spans="3:10" x14ac:dyDescent="0.3">
      <c r="C299" s="1">
        <v>45224</v>
      </c>
      <c r="G299" s="5">
        <f t="shared" si="33"/>
        <v>2422800000</v>
      </c>
      <c r="H299" s="5">
        <f t="shared" si="31"/>
        <v>1392000000</v>
      </c>
      <c r="I299" s="5">
        <f t="shared" si="32"/>
        <v>2422800000</v>
      </c>
      <c r="J299" s="5">
        <f t="shared" si="34"/>
        <v>2472000000</v>
      </c>
    </row>
    <row r="300" spans="3:10" x14ac:dyDescent="0.3">
      <c r="C300" s="1">
        <v>45225</v>
      </c>
      <c r="G300" s="5">
        <f t="shared" si="33"/>
        <v>2442800000</v>
      </c>
      <c r="H300" s="5">
        <f t="shared" si="31"/>
        <v>1392000000</v>
      </c>
      <c r="I300" s="5">
        <f t="shared" si="32"/>
        <v>2442800000</v>
      </c>
      <c r="J300" s="5">
        <f t="shared" si="34"/>
        <v>2492000000</v>
      </c>
    </row>
    <row r="301" spans="3:10" x14ac:dyDescent="0.3">
      <c r="C301" s="1">
        <v>45226</v>
      </c>
      <c r="G301" s="5">
        <f t="shared" si="33"/>
        <v>2462800000</v>
      </c>
      <c r="H301" s="5">
        <f t="shared" si="31"/>
        <v>1392000000</v>
      </c>
      <c r="I301" s="5">
        <f t="shared" si="32"/>
        <v>2462800000</v>
      </c>
      <c r="J301" s="5">
        <f t="shared" si="34"/>
        <v>2512000000</v>
      </c>
    </row>
    <row r="302" spans="3:10" x14ac:dyDescent="0.3">
      <c r="C302" s="1">
        <v>45227</v>
      </c>
      <c r="G302" s="5">
        <f t="shared" si="33"/>
        <v>2482800000</v>
      </c>
      <c r="H302" s="5">
        <f t="shared" si="31"/>
        <v>1392000000</v>
      </c>
      <c r="I302" s="5">
        <f t="shared" si="32"/>
        <v>2482800000</v>
      </c>
      <c r="J302" s="5">
        <f t="shared" si="34"/>
        <v>2532000000</v>
      </c>
    </row>
    <row r="303" spans="3:10" x14ac:dyDescent="0.3">
      <c r="C303" s="1">
        <v>45228</v>
      </c>
      <c r="G303" s="5">
        <f t="shared" si="33"/>
        <v>2502800000</v>
      </c>
      <c r="H303" s="5">
        <f t="shared" si="31"/>
        <v>1392000000</v>
      </c>
      <c r="I303" s="5">
        <f t="shared" si="32"/>
        <v>2502800000</v>
      </c>
      <c r="J303" s="5">
        <f t="shared" si="34"/>
        <v>2552000000</v>
      </c>
    </row>
    <row r="304" spans="3:10" x14ac:dyDescent="0.3">
      <c r="C304" s="1">
        <v>45229</v>
      </c>
      <c r="G304" s="5">
        <f t="shared" si="33"/>
        <v>2522800000</v>
      </c>
      <c r="H304" s="5">
        <f t="shared" si="31"/>
        <v>1392000000</v>
      </c>
      <c r="I304" s="5">
        <f t="shared" si="32"/>
        <v>2522800000</v>
      </c>
      <c r="J304" s="5">
        <f t="shared" si="34"/>
        <v>2572000000</v>
      </c>
    </row>
    <row r="305" spans="3:10" x14ac:dyDescent="0.3">
      <c r="C305" s="1">
        <v>45230</v>
      </c>
      <c r="G305" s="5">
        <f t="shared" si="33"/>
        <v>2542800000</v>
      </c>
      <c r="H305" s="5">
        <f t="shared" si="31"/>
        <v>1392000000</v>
      </c>
      <c r="I305" s="5">
        <f t="shared" si="32"/>
        <v>2542800000</v>
      </c>
      <c r="J305" s="5">
        <f t="shared" si="34"/>
        <v>2592000000</v>
      </c>
    </row>
    <row r="306" spans="3:10" x14ac:dyDescent="0.3">
      <c r="C306" s="1">
        <v>45231</v>
      </c>
      <c r="G306" s="5">
        <f t="shared" si="33"/>
        <v>2562800000</v>
      </c>
      <c r="H306" s="5">
        <f t="shared" si="31"/>
        <v>1392000000</v>
      </c>
      <c r="I306" s="5">
        <f t="shared" si="32"/>
        <v>2562800000</v>
      </c>
      <c r="J306" s="5">
        <f t="shared" si="34"/>
        <v>2612000000</v>
      </c>
    </row>
    <row r="307" spans="3:10" x14ac:dyDescent="0.3">
      <c r="C307" s="1">
        <v>45232</v>
      </c>
      <c r="G307" s="5">
        <f t="shared" si="33"/>
        <v>2582800000</v>
      </c>
      <c r="H307" s="5">
        <f t="shared" si="31"/>
        <v>1392000000</v>
      </c>
      <c r="I307" s="5">
        <f t="shared" si="32"/>
        <v>2582800000</v>
      </c>
      <c r="J307" s="5">
        <f t="shared" si="34"/>
        <v>2632000000</v>
      </c>
    </row>
    <row r="308" spans="3:10" x14ac:dyDescent="0.3">
      <c r="C308" s="1">
        <v>45233</v>
      </c>
      <c r="G308" s="5">
        <f t="shared" si="33"/>
        <v>2602800000</v>
      </c>
      <c r="H308" s="5">
        <f t="shared" si="31"/>
        <v>1392000000</v>
      </c>
      <c r="I308" s="5">
        <f t="shared" si="32"/>
        <v>2602800000</v>
      </c>
      <c r="J308" s="5">
        <f t="shared" si="34"/>
        <v>2652000000</v>
      </c>
    </row>
    <row r="309" spans="3:10" x14ac:dyDescent="0.3">
      <c r="C309" s="1">
        <v>45234</v>
      </c>
      <c r="G309" s="5">
        <f t="shared" si="33"/>
        <v>2622800000</v>
      </c>
      <c r="H309" s="5">
        <f t="shared" si="31"/>
        <v>1392000000</v>
      </c>
      <c r="I309" s="5">
        <f t="shared" si="32"/>
        <v>2622800000</v>
      </c>
      <c r="J309" s="5">
        <f t="shared" si="34"/>
        <v>2672000000</v>
      </c>
    </row>
    <row r="310" spans="3:10" x14ac:dyDescent="0.3">
      <c r="C310" s="1">
        <v>45235</v>
      </c>
      <c r="G310" s="5">
        <f t="shared" si="33"/>
        <v>2642800000</v>
      </c>
      <c r="H310" s="5">
        <f t="shared" si="31"/>
        <v>1392000000</v>
      </c>
      <c r="I310" s="5">
        <f t="shared" si="32"/>
        <v>2642800000</v>
      </c>
      <c r="J310" s="5">
        <f t="shared" si="34"/>
        <v>2692000000</v>
      </c>
    </row>
    <row r="311" spans="3:10" x14ac:dyDescent="0.3">
      <c r="C311" s="1">
        <v>45236</v>
      </c>
      <c r="G311" s="5">
        <f t="shared" si="33"/>
        <v>2662800000</v>
      </c>
      <c r="H311" s="5">
        <f t="shared" si="31"/>
        <v>1392000000</v>
      </c>
      <c r="I311" s="5">
        <f t="shared" si="32"/>
        <v>2662800000</v>
      </c>
      <c r="J311" s="5">
        <f t="shared" si="34"/>
        <v>2712000000</v>
      </c>
    </row>
    <row r="312" spans="3:10" x14ac:dyDescent="0.3">
      <c r="C312" s="1">
        <v>45237</v>
      </c>
      <c r="G312" s="5">
        <f t="shared" si="33"/>
        <v>2682800000</v>
      </c>
      <c r="H312" s="5">
        <f t="shared" si="31"/>
        <v>1392000000</v>
      </c>
      <c r="I312" s="5">
        <f t="shared" si="32"/>
        <v>2682800000</v>
      </c>
      <c r="J312" s="5">
        <f t="shared" si="34"/>
        <v>2732000000</v>
      </c>
    </row>
    <row r="313" spans="3:10" x14ac:dyDescent="0.3">
      <c r="C313" s="1">
        <v>45238</v>
      </c>
      <c r="G313" s="5">
        <f t="shared" si="33"/>
        <v>2702800000</v>
      </c>
      <c r="H313" s="5">
        <f t="shared" si="31"/>
        <v>1392000000</v>
      </c>
      <c r="I313" s="5">
        <f t="shared" si="32"/>
        <v>2702800000</v>
      </c>
      <c r="J313" s="5">
        <f t="shared" si="34"/>
        <v>2752000000</v>
      </c>
    </row>
    <row r="314" spans="3:10" x14ac:dyDescent="0.3">
      <c r="C314" s="1">
        <v>45239</v>
      </c>
      <c r="G314" s="5">
        <f t="shared" si="33"/>
        <v>2722800000</v>
      </c>
      <c r="H314" s="5">
        <f t="shared" si="31"/>
        <v>1392000000</v>
      </c>
      <c r="I314" s="5">
        <f t="shared" si="32"/>
        <v>2722800000</v>
      </c>
      <c r="J314" s="5">
        <f t="shared" si="34"/>
        <v>2772000000</v>
      </c>
    </row>
    <row r="315" spans="3:10" x14ac:dyDescent="0.3">
      <c r="C315" s="1">
        <v>45240</v>
      </c>
      <c r="G315" s="5">
        <f t="shared" si="33"/>
        <v>2742800000</v>
      </c>
      <c r="H315" s="5">
        <f t="shared" si="31"/>
        <v>1392000000</v>
      </c>
      <c r="I315" s="5">
        <f t="shared" si="32"/>
        <v>2742800000</v>
      </c>
      <c r="J315" s="5">
        <f t="shared" si="34"/>
        <v>2792000000</v>
      </c>
    </row>
    <row r="316" spans="3:10" x14ac:dyDescent="0.3">
      <c r="C316" s="1">
        <v>45241</v>
      </c>
      <c r="G316" s="5">
        <f t="shared" si="33"/>
        <v>2762800000</v>
      </c>
      <c r="H316" s="5">
        <f t="shared" si="31"/>
        <v>1392000000</v>
      </c>
      <c r="I316" s="5">
        <f t="shared" si="32"/>
        <v>2762800000</v>
      </c>
      <c r="J316" s="5">
        <f t="shared" si="34"/>
        <v>2812000000</v>
      </c>
    </row>
    <row r="317" spans="3:10" x14ac:dyDescent="0.3">
      <c r="C317" s="1">
        <v>45242</v>
      </c>
      <c r="G317" s="5">
        <f t="shared" si="33"/>
        <v>2782800000</v>
      </c>
      <c r="H317" s="5">
        <f t="shared" si="31"/>
        <v>1392000000</v>
      </c>
      <c r="I317" s="5">
        <f t="shared" si="32"/>
        <v>2782800000</v>
      </c>
      <c r="J317" s="5">
        <f t="shared" si="34"/>
        <v>2832000000</v>
      </c>
    </row>
    <row r="318" spans="3:10" x14ac:dyDescent="0.3">
      <c r="C318" s="1">
        <v>45243</v>
      </c>
      <c r="G318" s="5">
        <f t="shared" si="33"/>
        <v>2802800000</v>
      </c>
      <c r="H318" s="5">
        <f t="shared" si="31"/>
        <v>1392000000</v>
      </c>
      <c r="I318" s="5">
        <f t="shared" si="32"/>
        <v>2802800000</v>
      </c>
      <c r="J318" s="5">
        <f t="shared" si="34"/>
        <v>2852000000</v>
      </c>
    </row>
    <row r="319" spans="3:10" x14ac:dyDescent="0.3">
      <c r="C319" s="1">
        <v>45244</v>
      </c>
      <c r="G319" s="5">
        <f t="shared" si="33"/>
        <v>2822800000</v>
      </c>
      <c r="H319" s="5">
        <f t="shared" si="31"/>
        <v>1392000000</v>
      </c>
      <c r="I319" s="5">
        <f t="shared" si="32"/>
        <v>2822800000</v>
      </c>
      <c r="J319" s="5">
        <f t="shared" si="34"/>
        <v>2872000000</v>
      </c>
    </row>
    <row r="320" spans="3:10" x14ac:dyDescent="0.3">
      <c r="C320" s="1">
        <v>45245</v>
      </c>
      <c r="G320" s="5">
        <f t="shared" si="33"/>
        <v>2842800000</v>
      </c>
      <c r="H320" s="5">
        <f t="shared" si="31"/>
        <v>1392000000</v>
      </c>
      <c r="I320" s="5">
        <f t="shared" si="32"/>
        <v>2842800000</v>
      </c>
      <c r="J320" s="5">
        <f t="shared" si="34"/>
        <v>2892000000</v>
      </c>
    </row>
    <row r="321" spans="3:10" x14ac:dyDescent="0.3">
      <c r="C321" s="1">
        <v>45246</v>
      </c>
      <c r="G321" s="5">
        <f t="shared" si="33"/>
        <v>2862800000</v>
      </c>
      <c r="H321" s="5">
        <f t="shared" si="31"/>
        <v>1392000000</v>
      </c>
      <c r="I321" s="5">
        <f t="shared" si="32"/>
        <v>2862800000</v>
      </c>
      <c r="J321" s="5">
        <f t="shared" si="34"/>
        <v>2900000000</v>
      </c>
    </row>
    <row r="322" spans="3:10" x14ac:dyDescent="0.3">
      <c r="C322" s="1">
        <v>45247</v>
      </c>
      <c r="G322" s="5">
        <f t="shared" si="33"/>
        <v>2882800000</v>
      </c>
      <c r="H322" s="5">
        <f t="shared" si="31"/>
        <v>1392000000</v>
      </c>
      <c r="I322" s="5">
        <f t="shared" si="32"/>
        <v>2882800000</v>
      </c>
      <c r="J322" s="5">
        <f t="shared" si="34"/>
        <v>2900000000</v>
      </c>
    </row>
    <row r="323" spans="3:10" x14ac:dyDescent="0.3">
      <c r="C323" s="1">
        <v>45248</v>
      </c>
      <c r="G323" s="5">
        <f t="shared" si="33"/>
        <v>2900000000</v>
      </c>
      <c r="H323" s="5">
        <f t="shared" si="31"/>
        <v>1392000000</v>
      </c>
      <c r="I323" s="5">
        <f t="shared" si="32"/>
        <v>2900000000</v>
      </c>
      <c r="J323" s="5">
        <f t="shared" si="34"/>
        <v>2900000000</v>
      </c>
    </row>
    <row r="324" spans="3:10" x14ac:dyDescent="0.3">
      <c r="C324" s="1">
        <v>45249</v>
      </c>
      <c r="G324" s="5">
        <f t="shared" si="33"/>
        <v>2900000000</v>
      </c>
      <c r="H324" s="5">
        <f t="shared" si="31"/>
        <v>1396000000</v>
      </c>
      <c r="I324" s="5">
        <f t="shared" si="32"/>
        <v>2900000000</v>
      </c>
      <c r="J324" s="5">
        <f t="shared" si="34"/>
        <v>2900000000</v>
      </c>
    </row>
    <row r="325" spans="3:10" x14ac:dyDescent="0.3">
      <c r="C325" s="1">
        <v>45250</v>
      </c>
      <c r="G325" s="5">
        <f t="shared" si="33"/>
        <v>2900000000</v>
      </c>
      <c r="H325" s="5">
        <f t="shared" si="31"/>
        <v>1418000000</v>
      </c>
      <c r="I325" s="5">
        <f t="shared" si="32"/>
        <v>2900000000</v>
      </c>
      <c r="J325" s="5">
        <f t="shared" si="34"/>
        <v>2900000000</v>
      </c>
    </row>
    <row r="326" spans="3:10" x14ac:dyDescent="0.3">
      <c r="C326" s="1">
        <v>45251</v>
      </c>
      <c r="G326" s="5">
        <f t="shared" si="33"/>
        <v>2900000000</v>
      </c>
      <c r="H326" s="5">
        <f t="shared" si="31"/>
        <v>1440000000</v>
      </c>
      <c r="I326" s="5">
        <f t="shared" si="32"/>
        <v>2900000000</v>
      </c>
      <c r="J326" s="5">
        <f t="shared" si="34"/>
        <v>2900000000</v>
      </c>
    </row>
    <row r="327" spans="3:10" x14ac:dyDescent="0.3">
      <c r="C327" s="1">
        <v>45252</v>
      </c>
      <c r="G327" s="5">
        <f t="shared" si="33"/>
        <v>2900000000</v>
      </c>
      <c r="H327" s="5">
        <f t="shared" si="31"/>
        <v>1462000000</v>
      </c>
      <c r="I327" s="5">
        <f t="shared" si="32"/>
        <v>2900000000</v>
      </c>
      <c r="J327" s="5">
        <f t="shared" si="34"/>
        <v>2900000000</v>
      </c>
    </row>
    <row r="328" spans="3:10" x14ac:dyDescent="0.3">
      <c r="C328" s="1">
        <v>45253</v>
      </c>
      <c r="G328" s="5">
        <f t="shared" si="33"/>
        <v>2900000000</v>
      </c>
      <c r="H328" s="5">
        <f t="shared" si="31"/>
        <v>1484000000</v>
      </c>
      <c r="I328" s="5">
        <f t="shared" si="32"/>
        <v>2900000000</v>
      </c>
      <c r="J328" s="5">
        <f t="shared" si="34"/>
        <v>2900000000</v>
      </c>
    </row>
    <row r="329" spans="3:10" x14ac:dyDescent="0.3">
      <c r="C329" s="1">
        <v>45254</v>
      </c>
      <c r="G329" s="5">
        <f t="shared" si="33"/>
        <v>2900000000</v>
      </c>
      <c r="H329" s="5">
        <f t="shared" si="31"/>
        <v>1506000000</v>
      </c>
      <c r="I329" s="5">
        <f t="shared" si="32"/>
        <v>2900000000</v>
      </c>
      <c r="J329" s="5">
        <f t="shared" si="34"/>
        <v>2900000000</v>
      </c>
    </row>
    <row r="330" spans="3:10" x14ac:dyDescent="0.3">
      <c r="C330" s="1">
        <v>45255</v>
      </c>
      <c r="G330" s="5">
        <f t="shared" si="33"/>
        <v>2900000000</v>
      </c>
      <c r="H330" s="5">
        <f t="shared" si="31"/>
        <v>1528000000</v>
      </c>
      <c r="I330" s="5">
        <f t="shared" si="32"/>
        <v>2900000000</v>
      </c>
      <c r="J330" s="5">
        <f t="shared" si="34"/>
        <v>2900000000</v>
      </c>
    </row>
    <row r="331" spans="3:10" x14ac:dyDescent="0.3">
      <c r="C331" s="1">
        <v>45256</v>
      </c>
      <c r="G331" s="5">
        <f t="shared" si="33"/>
        <v>2900000000</v>
      </c>
      <c r="H331" s="5">
        <f t="shared" si="31"/>
        <v>1550000000</v>
      </c>
      <c r="I331" s="5">
        <f t="shared" si="32"/>
        <v>2900000000</v>
      </c>
      <c r="J331" s="5">
        <f t="shared" si="34"/>
        <v>2900000000</v>
      </c>
    </row>
    <row r="332" spans="3:10" x14ac:dyDescent="0.3">
      <c r="C332" s="1">
        <v>45257</v>
      </c>
      <c r="G332" s="5">
        <f t="shared" si="33"/>
        <v>2900000000</v>
      </c>
      <c r="H332" s="5">
        <f t="shared" si="31"/>
        <v>1572000000</v>
      </c>
      <c r="I332" s="5">
        <f t="shared" si="32"/>
        <v>2900000000</v>
      </c>
      <c r="J332" s="5">
        <f t="shared" si="34"/>
        <v>2900000000</v>
      </c>
    </row>
    <row r="333" spans="3:10" x14ac:dyDescent="0.3">
      <c r="C333" s="1">
        <v>45258</v>
      </c>
      <c r="G333" s="5">
        <f t="shared" si="33"/>
        <v>2900000000</v>
      </c>
      <c r="H333" s="5">
        <f t="shared" si="31"/>
        <v>1594000000</v>
      </c>
      <c r="I333" s="5">
        <f t="shared" si="32"/>
        <v>2900000000</v>
      </c>
      <c r="J333" s="5">
        <f t="shared" si="34"/>
        <v>2900000000</v>
      </c>
    </row>
    <row r="334" spans="3:10" x14ac:dyDescent="0.3">
      <c r="C334" s="1">
        <v>45259</v>
      </c>
      <c r="G334" s="5">
        <f t="shared" si="33"/>
        <v>2900000000</v>
      </c>
      <c r="H334" s="5">
        <f t="shared" si="31"/>
        <v>1616000000</v>
      </c>
      <c r="I334" s="5">
        <f t="shared" si="32"/>
        <v>2900000000</v>
      </c>
      <c r="J334" s="5">
        <f t="shared" si="34"/>
        <v>2900000000</v>
      </c>
    </row>
    <row r="335" spans="3:10" x14ac:dyDescent="0.3">
      <c r="C335" s="1">
        <v>45260</v>
      </c>
      <c r="G335" s="5">
        <f t="shared" si="33"/>
        <v>2900000000</v>
      </c>
      <c r="H335" s="5">
        <f t="shared" si="31"/>
        <v>1638000000</v>
      </c>
      <c r="I335" s="5">
        <f t="shared" si="32"/>
        <v>2900000000</v>
      </c>
      <c r="J335" s="5">
        <f t="shared" si="34"/>
        <v>2900000000</v>
      </c>
    </row>
    <row r="336" spans="3:10" x14ac:dyDescent="0.3">
      <c r="C336" s="1">
        <v>45261</v>
      </c>
      <c r="G336" s="5">
        <f t="shared" si="33"/>
        <v>2900000000</v>
      </c>
      <c r="H336" s="5">
        <f t="shared" si="31"/>
        <v>1660000000</v>
      </c>
      <c r="I336" s="5">
        <f t="shared" si="32"/>
        <v>2900000000</v>
      </c>
      <c r="J336" s="5">
        <f t="shared" si="34"/>
        <v>2900000000</v>
      </c>
    </row>
    <row r="337" spans="3:10" x14ac:dyDescent="0.3">
      <c r="C337" s="1">
        <v>45262</v>
      </c>
      <c r="G337" s="5">
        <f t="shared" si="33"/>
        <v>2900000000</v>
      </c>
      <c r="H337" s="5">
        <f t="shared" si="31"/>
        <v>1682000000</v>
      </c>
      <c r="I337" s="5">
        <f t="shared" si="32"/>
        <v>2900000000</v>
      </c>
      <c r="J337" s="5">
        <f t="shared" si="34"/>
        <v>2900000000</v>
      </c>
    </row>
    <row r="338" spans="3:10" x14ac:dyDescent="0.3">
      <c r="C338" s="1">
        <v>45263</v>
      </c>
      <c r="G338" s="5">
        <f t="shared" si="33"/>
        <v>2900000000</v>
      </c>
      <c r="H338" s="5">
        <f t="shared" si="31"/>
        <v>1704000000</v>
      </c>
      <c r="I338" s="5">
        <f t="shared" si="32"/>
        <v>2900000000</v>
      </c>
      <c r="J338" s="5">
        <f t="shared" si="34"/>
        <v>2900000000</v>
      </c>
    </row>
    <row r="339" spans="3:10" x14ac:dyDescent="0.3">
      <c r="C339" s="1">
        <v>45264</v>
      </c>
      <c r="G339" s="5">
        <f t="shared" si="33"/>
        <v>2900000000</v>
      </c>
      <c r="H339" s="5">
        <f t="shared" ref="H339:H364" si="35">MAX($L$7,IF((H340-22000000)&gt;$L$3-$L$7,H340-22000000,$L$3-$L$7))</f>
        <v>1726000000</v>
      </c>
      <c r="I339" s="5">
        <f t="shared" si="32"/>
        <v>2900000000</v>
      </c>
      <c r="J339" s="5">
        <f t="shared" si="34"/>
        <v>2900000000</v>
      </c>
    </row>
    <row r="340" spans="3:10" x14ac:dyDescent="0.3">
      <c r="C340" s="1">
        <v>45265</v>
      </c>
      <c r="G340" s="5">
        <f t="shared" si="33"/>
        <v>2900000000</v>
      </c>
      <c r="H340" s="5">
        <f t="shared" si="35"/>
        <v>1748000000</v>
      </c>
      <c r="I340" s="5">
        <f t="shared" ref="I340:I365" si="36">G340</f>
        <v>2900000000</v>
      </c>
      <c r="J340" s="5">
        <f t="shared" si="34"/>
        <v>2900000000</v>
      </c>
    </row>
    <row r="341" spans="3:10" x14ac:dyDescent="0.3">
      <c r="C341" s="1">
        <v>45266</v>
      </c>
      <c r="G341" s="5">
        <f t="shared" ref="G341:G366" si="37">IF(G340+$L$8+$L$9&lt;$L$2,G340+$L$8+$L$9,$L$2)</f>
        <v>2900000000</v>
      </c>
      <c r="H341" s="5">
        <f t="shared" si="35"/>
        <v>1770000000</v>
      </c>
      <c r="I341" s="5">
        <f t="shared" si="36"/>
        <v>2900000000</v>
      </c>
      <c r="J341" s="5">
        <f t="shared" ref="J341:J366" si="38">IF(J340+$L$8+$L$9&lt;$L$2,J340+$L$8+$L$9,$L$2)</f>
        <v>2900000000</v>
      </c>
    </row>
    <row r="342" spans="3:10" x14ac:dyDescent="0.3">
      <c r="C342" s="1">
        <v>45267</v>
      </c>
      <c r="G342" s="5">
        <f t="shared" si="37"/>
        <v>2900000000</v>
      </c>
      <c r="H342" s="5">
        <f t="shared" si="35"/>
        <v>1792000000</v>
      </c>
      <c r="I342" s="5">
        <f t="shared" si="36"/>
        <v>2900000000</v>
      </c>
      <c r="J342" s="5">
        <f t="shared" si="38"/>
        <v>2900000000</v>
      </c>
    </row>
    <row r="343" spans="3:10" x14ac:dyDescent="0.3">
      <c r="C343" s="1">
        <v>45268</v>
      </c>
      <c r="G343" s="5">
        <f t="shared" si="37"/>
        <v>2900000000</v>
      </c>
      <c r="H343" s="5">
        <f t="shared" si="35"/>
        <v>1814000000</v>
      </c>
      <c r="I343" s="5">
        <f t="shared" si="36"/>
        <v>2900000000</v>
      </c>
      <c r="J343" s="5">
        <f t="shared" si="38"/>
        <v>2900000000</v>
      </c>
    </row>
    <row r="344" spans="3:10" x14ac:dyDescent="0.3">
      <c r="C344" s="1">
        <v>45269</v>
      </c>
      <c r="G344" s="5">
        <f t="shared" si="37"/>
        <v>2900000000</v>
      </c>
      <c r="H344" s="5">
        <f t="shared" si="35"/>
        <v>1836000000</v>
      </c>
      <c r="I344" s="5">
        <f t="shared" si="36"/>
        <v>2900000000</v>
      </c>
      <c r="J344" s="5">
        <f t="shared" si="38"/>
        <v>2900000000</v>
      </c>
    </row>
    <row r="345" spans="3:10" x14ac:dyDescent="0.3">
      <c r="C345" s="1">
        <v>45270</v>
      </c>
      <c r="G345" s="5">
        <f t="shared" si="37"/>
        <v>2900000000</v>
      </c>
      <c r="H345" s="5">
        <f t="shared" si="35"/>
        <v>1858000000</v>
      </c>
      <c r="I345" s="5">
        <f t="shared" si="36"/>
        <v>2900000000</v>
      </c>
      <c r="J345" s="5">
        <f t="shared" si="38"/>
        <v>2900000000</v>
      </c>
    </row>
    <row r="346" spans="3:10" x14ac:dyDescent="0.3">
      <c r="C346" s="1">
        <v>45271</v>
      </c>
      <c r="G346" s="5">
        <f t="shared" si="37"/>
        <v>2900000000</v>
      </c>
      <c r="H346" s="5">
        <f t="shared" si="35"/>
        <v>1880000000</v>
      </c>
      <c r="I346" s="5">
        <f t="shared" si="36"/>
        <v>2900000000</v>
      </c>
      <c r="J346" s="5">
        <f t="shared" si="38"/>
        <v>2900000000</v>
      </c>
    </row>
    <row r="347" spans="3:10" x14ac:dyDescent="0.3">
      <c r="C347" s="1">
        <v>45272</v>
      </c>
      <c r="G347" s="5">
        <f t="shared" si="37"/>
        <v>2900000000</v>
      </c>
      <c r="H347" s="5">
        <f t="shared" si="35"/>
        <v>1902000000</v>
      </c>
      <c r="I347" s="5">
        <f t="shared" si="36"/>
        <v>2900000000</v>
      </c>
      <c r="J347" s="5">
        <f t="shared" si="38"/>
        <v>2900000000</v>
      </c>
    </row>
    <row r="348" spans="3:10" x14ac:dyDescent="0.3">
      <c r="C348" s="1">
        <v>45273</v>
      </c>
      <c r="G348" s="5">
        <f t="shared" si="37"/>
        <v>2900000000</v>
      </c>
      <c r="H348" s="5">
        <f t="shared" si="35"/>
        <v>1924000000</v>
      </c>
      <c r="I348" s="5">
        <f t="shared" si="36"/>
        <v>2900000000</v>
      </c>
      <c r="J348" s="5">
        <f t="shared" si="38"/>
        <v>2900000000</v>
      </c>
    </row>
    <row r="349" spans="3:10" x14ac:dyDescent="0.3">
      <c r="C349" s="1">
        <v>45274</v>
      </c>
      <c r="G349" s="5">
        <f t="shared" si="37"/>
        <v>2900000000</v>
      </c>
      <c r="H349" s="5">
        <f t="shared" si="35"/>
        <v>1946000000</v>
      </c>
      <c r="I349" s="5">
        <f t="shared" si="36"/>
        <v>2900000000</v>
      </c>
      <c r="J349" s="5">
        <f t="shared" si="38"/>
        <v>2900000000</v>
      </c>
    </row>
    <row r="350" spans="3:10" x14ac:dyDescent="0.3">
      <c r="C350" s="1">
        <v>45275</v>
      </c>
      <c r="G350" s="5">
        <f t="shared" si="37"/>
        <v>2900000000</v>
      </c>
      <c r="H350" s="5">
        <f t="shared" si="35"/>
        <v>1968000000</v>
      </c>
      <c r="I350" s="5">
        <f t="shared" si="36"/>
        <v>2900000000</v>
      </c>
      <c r="J350" s="5">
        <f t="shared" si="38"/>
        <v>2900000000</v>
      </c>
    </row>
    <row r="351" spans="3:10" x14ac:dyDescent="0.3">
      <c r="C351" s="1">
        <v>45276</v>
      </c>
      <c r="G351" s="5">
        <f t="shared" si="37"/>
        <v>2900000000</v>
      </c>
      <c r="H351" s="5">
        <f t="shared" si="35"/>
        <v>1990000000</v>
      </c>
      <c r="I351" s="5">
        <f t="shared" si="36"/>
        <v>2900000000</v>
      </c>
      <c r="J351" s="5">
        <f t="shared" si="38"/>
        <v>2900000000</v>
      </c>
    </row>
    <row r="352" spans="3:10" x14ac:dyDescent="0.3">
      <c r="C352" s="1">
        <v>45277</v>
      </c>
      <c r="G352" s="5">
        <f t="shared" si="37"/>
        <v>2900000000</v>
      </c>
      <c r="H352" s="5">
        <f t="shared" si="35"/>
        <v>2012000000</v>
      </c>
      <c r="I352" s="5">
        <f t="shared" si="36"/>
        <v>2900000000</v>
      </c>
      <c r="J352" s="5">
        <f t="shared" si="38"/>
        <v>2900000000</v>
      </c>
    </row>
    <row r="353" spans="3:10" x14ac:dyDescent="0.3">
      <c r="C353" s="1">
        <v>45278</v>
      </c>
      <c r="G353" s="5">
        <f t="shared" si="37"/>
        <v>2900000000</v>
      </c>
      <c r="H353" s="5">
        <f t="shared" si="35"/>
        <v>2034000000</v>
      </c>
      <c r="I353" s="5">
        <f t="shared" si="36"/>
        <v>2900000000</v>
      </c>
      <c r="J353" s="5">
        <f t="shared" si="38"/>
        <v>2900000000</v>
      </c>
    </row>
    <row r="354" spans="3:10" x14ac:dyDescent="0.3">
      <c r="C354" s="1">
        <v>45279</v>
      </c>
      <c r="G354" s="5">
        <f t="shared" si="37"/>
        <v>2900000000</v>
      </c>
      <c r="H354" s="5">
        <f t="shared" si="35"/>
        <v>2056000000</v>
      </c>
      <c r="I354" s="5">
        <f t="shared" si="36"/>
        <v>2900000000</v>
      </c>
      <c r="J354" s="5">
        <f t="shared" si="38"/>
        <v>2900000000</v>
      </c>
    </row>
    <row r="355" spans="3:10" x14ac:dyDescent="0.3">
      <c r="C355" s="1">
        <v>45280</v>
      </c>
      <c r="G355" s="5">
        <f t="shared" si="37"/>
        <v>2900000000</v>
      </c>
      <c r="H355" s="5">
        <f t="shared" si="35"/>
        <v>2078000000</v>
      </c>
      <c r="I355" s="5">
        <f t="shared" si="36"/>
        <v>2900000000</v>
      </c>
      <c r="J355" s="5">
        <f t="shared" si="38"/>
        <v>2900000000</v>
      </c>
    </row>
    <row r="356" spans="3:10" x14ac:dyDescent="0.3">
      <c r="C356" s="1">
        <v>45281</v>
      </c>
      <c r="G356" s="5">
        <f t="shared" si="37"/>
        <v>2900000000</v>
      </c>
      <c r="H356" s="5">
        <f t="shared" si="35"/>
        <v>2100000000</v>
      </c>
      <c r="I356" s="5">
        <f t="shared" si="36"/>
        <v>2900000000</v>
      </c>
      <c r="J356" s="5">
        <f t="shared" si="38"/>
        <v>2900000000</v>
      </c>
    </row>
    <row r="357" spans="3:10" x14ac:dyDescent="0.3">
      <c r="C357" s="1">
        <v>45282</v>
      </c>
      <c r="G357" s="5">
        <f t="shared" si="37"/>
        <v>2900000000</v>
      </c>
      <c r="H357" s="5">
        <f t="shared" si="35"/>
        <v>2122000000</v>
      </c>
      <c r="I357" s="5">
        <f t="shared" si="36"/>
        <v>2900000000</v>
      </c>
      <c r="J357" s="5">
        <f t="shared" si="38"/>
        <v>2900000000</v>
      </c>
    </row>
    <row r="358" spans="3:10" x14ac:dyDescent="0.3">
      <c r="C358" s="1">
        <v>45283</v>
      </c>
      <c r="G358" s="5">
        <f t="shared" si="37"/>
        <v>2900000000</v>
      </c>
      <c r="H358" s="5">
        <f t="shared" si="35"/>
        <v>2144000000</v>
      </c>
      <c r="I358" s="5">
        <f t="shared" si="36"/>
        <v>2900000000</v>
      </c>
      <c r="J358" s="5">
        <f t="shared" si="38"/>
        <v>2900000000</v>
      </c>
    </row>
    <row r="359" spans="3:10" x14ac:dyDescent="0.3">
      <c r="C359" s="1">
        <v>45284</v>
      </c>
      <c r="G359" s="5">
        <f t="shared" si="37"/>
        <v>2900000000</v>
      </c>
      <c r="H359" s="5">
        <f t="shared" si="35"/>
        <v>2166000000</v>
      </c>
      <c r="I359" s="5">
        <f t="shared" si="36"/>
        <v>2900000000</v>
      </c>
      <c r="J359" s="5">
        <f t="shared" si="38"/>
        <v>2900000000</v>
      </c>
    </row>
    <row r="360" spans="3:10" x14ac:dyDescent="0.3">
      <c r="C360" s="1">
        <v>45285</v>
      </c>
      <c r="G360" s="5">
        <f t="shared" si="37"/>
        <v>2900000000</v>
      </c>
      <c r="H360" s="5">
        <f t="shared" si="35"/>
        <v>2188000000</v>
      </c>
      <c r="I360" s="5">
        <f t="shared" si="36"/>
        <v>2900000000</v>
      </c>
      <c r="J360" s="5">
        <f t="shared" si="38"/>
        <v>2900000000</v>
      </c>
    </row>
    <row r="361" spans="3:10" x14ac:dyDescent="0.3">
      <c r="C361" s="1">
        <v>45286</v>
      </c>
      <c r="G361" s="5">
        <f t="shared" si="37"/>
        <v>2900000000</v>
      </c>
      <c r="H361" s="5">
        <f t="shared" si="35"/>
        <v>2210000000</v>
      </c>
      <c r="I361" s="5">
        <f t="shared" si="36"/>
        <v>2900000000</v>
      </c>
      <c r="J361" s="5">
        <f t="shared" si="38"/>
        <v>2900000000</v>
      </c>
    </row>
    <row r="362" spans="3:10" x14ac:dyDescent="0.3">
      <c r="C362" s="1">
        <v>45287</v>
      </c>
      <c r="G362" s="5">
        <f t="shared" si="37"/>
        <v>2900000000</v>
      </c>
      <c r="H362" s="5">
        <f t="shared" si="35"/>
        <v>2232000000</v>
      </c>
      <c r="I362" s="5">
        <f t="shared" si="36"/>
        <v>2900000000</v>
      </c>
      <c r="J362" s="5">
        <f t="shared" si="38"/>
        <v>2900000000</v>
      </c>
    </row>
    <row r="363" spans="3:10" x14ac:dyDescent="0.3">
      <c r="C363" s="1">
        <v>45288</v>
      </c>
      <c r="G363" s="5">
        <f t="shared" si="37"/>
        <v>2900000000</v>
      </c>
      <c r="H363" s="5">
        <f t="shared" si="35"/>
        <v>2254000000</v>
      </c>
      <c r="I363" s="5">
        <f t="shared" si="36"/>
        <v>2900000000</v>
      </c>
      <c r="J363" s="5">
        <f t="shared" si="38"/>
        <v>2900000000</v>
      </c>
    </row>
    <row r="364" spans="3:10" x14ac:dyDescent="0.3">
      <c r="C364" s="1">
        <v>45289</v>
      </c>
      <c r="G364" s="5">
        <f t="shared" si="37"/>
        <v>2900000000</v>
      </c>
      <c r="H364" s="5">
        <f t="shared" si="35"/>
        <v>2276000000</v>
      </c>
      <c r="I364" s="5">
        <f t="shared" si="36"/>
        <v>2900000000</v>
      </c>
      <c r="J364" s="5">
        <f t="shared" si="38"/>
        <v>2900000000</v>
      </c>
    </row>
    <row r="365" spans="3:10" x14ac:dyDescent="0.3">
      <c r="C365" s="1">
        <v>45290</v>
      </c>
      <c r="G365" s="5">
        <f t="shared" si="37"/>
        <v>2900000000</v>
      </c>
      <c r="H365" s="5">
        <f>MAX($L$7,IF((H366-22000000)&gt;$L$3-$L$7,H366-22000000,$L$3-$L$7))</f>
        <v>2298000000</v>
      </c>
      <c r="I365" s="5">
        <f t="shared" si="36"/>
        <v>2900000000</v>
      </c>
      <c r="J365" s="5">
        <f t="shared" si="38"/>
        <v>2900000000</v>
      </c>
    </row>
    <row r="366" spans="3:10" x14ac:dyDescent="0.3">
      <c r="C366" s="1">
        <v>45291</v>
      </c>
      <c r="G366" s="5">
        <f t="shared" si="37"/>
        <v>2900000000</v>
      </c>
      <c r="H366" s="5">
        <f>MAX($L$7,$L$3)</f>
        <v>2320000000</v>
      </c>
      <c r="I366" s="5">
        <f>L2</f>
        <v>2900000000</v>
      </c>
      <c r="J366" s="5">
        <f t="shared" si="38"/>
        <v>2900000000</v>
      </c>
    </row>
    <row r="367" spans="3:10" x14ac:dyDescent="0.3">
      <c r="G367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B2151-890D-4253-BAD6-0CC2B40B8E32}">
  <dimension ref="A1:I366"/>
  <sheetViews>
    <sheetView tabSelected="1" topLeftCell="E1" zoomScale="70" zoomScaleNormal="70" workbookViewId="0">
      <selection activeCell="I16" sqref="I16"/>
    </sheetView>
  </sheetViews>
  <sheetFormatPr defaultRowHeight="14.4" x14ac:dyDescent="0.3"/>
  <cols>
    <col min="1" max="1" width="11.77734375" customWidth="1"/>
    <col min="2" max="2" width="12.21875" bestFit="1" customWidth="1"/>
    <col min="3" max="3" width="10.77734375" bestFit="1" customWidth="1"/>
    <col min="4" max="4" width="9.88671875" bestFit="1" customWidth="1"/>
    <col min="5" max="7" width="10.77734375" bestFit="1" customWidth="1"/>
    <col min="8" max="8" width="9.77734375" bestFit="1" customWidth="1"/>
    <col min="9" max="9" width="10.77734375" bestFit="1" customWidth="1"/>
  </cols>
  <sheetData>
    <row r="1" spans="1:9" x14ac:dyDescent="0.3">
      <c r="A1" t="s">
        <v>17</v>
      </c>
      <c r="B1" t="s">
        <v>18</v>
      </c>
      <c r="C1" t="s">
        <v>16</v>
      </c>
      <c r="D1" t="s">
        <v>6</v>
      </c>
      <c r="E1" t="s">
        <v>0</v>
      </c>
      <c r="F1" t="s">
        <v>19</v>
      </c>
      <c r="G1" t="s">
        <v>20</v>
      </c>
    </row>
    <row r="2" spans="1:9" x14ac:dyDescent="0.3">
      <c r="A2" s="5" cm="1">
        <f t="array" ref="A2:A366">Данные!H2:H366</f>
        <v>2400000</v>
      </c>
      <c r="B2" s="5">
        <f>Данные!I2-Данные!H2</f>
        <v>8000000</v>
      </c>
      <c r="C2" s="5">
        <f>Данные!J2-Данные!I2</f>
        <v>9600000</v>
      </c>
      <c r="D2" s="1">
        <f>Данные!C2</f>
        <v>44927</v>
      </c>
      <c r="E2" cm="1">
        <f t="array" ref="E2:E177">Данные!A2:A177</f>
        <v>7500000</v>
      </c>
      <c r="F2">
        <v>2900000000</v>
      </c>
      <c r="G2">
        <v>2320000000</v>
      </c>
      <c r="H2" s="1">
        <v>45016</v>
      </c>
      <c r="I2">
        <v>0</v>
      </c>
    </row>
    <row r="3" spans="1:9" x14ac:dyDescent="0.3">
      <c r="A3">
        <v>12800000</v>
      </c>
      <c r="B3" s="5">
        <f>Данные!I3-Данные!H3</f>
        <v>8000000</v>
      </c>
      <c r="C3" s="5">
        <f>Данные!J3-Данные!I3</f>
        <v>19200000</v>
      </c>
      <c r="D3" s="1">
        <f>Данные!C3</f>
        <v>44928</v>
      </c>
      <c r="E3">
        <v>15000000</v>
      </c>
      <c r="F3">
        <v>2900000000</v>
      </c>
      <c r="G3">
        <v>2320000000</v>
      </c>
      <c r="H3" s="1">
        <v>45016</v>
      </c>
      <c r="I3">
        <v>3000000000</v>
      </c>
    </row>
    <row r="4" spans="1:9" x14ac:dyDescent="0.3">
      <c r="A4">
        <v>23200000</v>
      </c>
      <c r="B4" s="5">
        <f>Данные!I4-Данные!H4</f>
        <v>8000000</v>
      </c>
      <c r="C4" s="5">
        <f>Данные!J4-Данные!I4</f>
        <v>28800000</v>
      </c>
      <c r="D4" s="1">
        <f>Данные!C4</f>
        <v>44929</v>
      </c>
      <c r="E4">
        <v>22500000</v>
      </c>
      <c r="F4">
        <v>2900000000</v>
      </c>
      <c r="G4">
        <v>2320000000</v>
      </c>
      <c r="H4" s="1">
        <v>45107</v>
      </c>
      <c r="I4">
        <v>0</v>
      </c>
    </row>
    <row r="5" spans="1:9" x14ac:dyDescent="0.3">
      <c r="A5">
        <v>33600000</v>
      </c>
      <c r="B5" s="5">
        <f>Данные!I5-Данные!H5</f>
        <v>8000000</v>
      </c>
      <c r="C5" s="5">
        <f>Данные!J5-Данные!I5</f>
        <v>38400000</v>
      </c>
      <c r="D5" s="1">
        <f>Данные!C5</f>
        <v>44930</v>
      </c>
      <c r="E5">
        <v>30000000</v>
      </c>
      <c r="F5">
        <v>2900000000</v>
      </c>
      <c r="G5">
        <v>2320000000</v>
      </c>
      <c r="H5" s="1">
        <v>45107</v>
      </c>
      <c r="I5">
        <v>3000000000</v>
      </c>
    </row>
    <row r="6" spans="1:9" x14ac:dyDescent="0.3">
      <c r="A6">
        <v>44000000</v>
      </c>
      <c r="B6" s="5">
        <f>Данные!I6-Данные!H6</f>
        <v>8000000</v>
      </c>
      <c r="C6" s="5">
        <f>Данные!J6-Данные!I6</f>
        <v>48000000</v>
      </c>
      <c r="D6" s="1">
        <f>Данные!C6</f>
        <v>44931</v>
      </c>
      <c r="E6">
        <v>37500000</v>
      </c>
      <c r="F6">
        <v>2900000000</v>
      </c>
      <c r="G6">
        <v>2320000000</v>
      </c>
      <c r="H6" s="1">
        <v>45199</v>
      </c>
      <c r="I6">
        <v>0</v>
      </c>
    </row>
    <row r="7" spans="1:9" x14ac:dyDescent="0.3">
      <c r="A7">
        <v>54400000</v>
      </c>
      <c r="B7" s="5">
        <f>Данные!I7-Данные!H7</f>
        <v>8000000</v>
      </c>
      <c r="C7" s="5">
        <f>Данные!J7-Данные!I7</f>
        <v>57600000</v>
      </c>
      <c r="D7" s="1">
        <f>Данные!C7</f>
        <v>44932</v>
      </c>
      <c r="E7">
        <v>45000000</v>
      </c>
      <c r="F7">
        <v>2900000000</v>
      </c>
      <c r="G7">
        <v>2320000000</v>
      </c>
      <c r="H7" s="1">
        <v>45199</v>
      </c>
      <c r="I7">
        <v>3000000000</v>
      </c>
    </row>
    <row r="8" spans="1:9" x14ac:dyDescent="0.3">
      <c r="A8">
        <v>64800000</v>
      </c>
      <c r="B8" s="5">
        <f>Данные!I8-Данные!H8</f>
        <v>8000000</v>
      </c>
      <c r="C8" s="5">
        <f>Данные!J8-Данные!I8</f>
        <v>67200000</v>
      </c>
      <c r="D8" s="1">
        <f>Данные!C8</f>
        <v>44933</v>
      </c>
      <c r="E8">
        <v>52500000</v>
      </c>
      <c r="F8">
        <v>2900000000</v>
      </c>
      <c r="G8">
        <v>2320000000</v>
      </c>
      <c r="H8" s="1">
        <v>45291</v>
      </c>
      <c r="I8">
        <v>0</v>
      </c>
    </row>
    <row r="9" spans="1:9" x14ac:dyDescent="0.3">
      <c r="A9">
        <v>75200000</v>
      </c>
      <c r="B9" s="5">
        <f>Данные!I9-Данные!H9</f>
        <v>8000000</v>
      </c>
      <c r="C9" s="5">
        <f>Данные!J9-Данные!I9</f>
        <v>76800000</v>
      </c>
      <c r="D9" s="1">
        <f>Данные!C9</f>
        <v>44934</v>
      </c>
      <c r="E9">
        <v>60000000</v>
      </c>
      <c r="F9">
        <v>2900000000</v>
      </c>
      <c r="G9">
        <v>2320000000</v>
      </c>
      <c r="H9" s="1">
        <v>45291</v>
      </c>
      <c r="I9">
        <v>3000000000</v>
      </c>
    </row>
    <row r="10" spans="1:9" x14ac:dyDescent="0.3">
      <c r="A10">
        <v>85600000</v>
      </c>
      <c r="B10" s="5">
        <f>Данные!I10-Данные!H10</f>
        <v>8000000</v>
      </c>
      <c r="C10" s="5">
        <f>Данные!J10-Данные!I10</f>
        <v>86400000</v>
      </c>
      <c r="D10" s="1">
        <f>Данные!C10</f>
        <v>44935</v>
      </c>
      <c r="E10">
        <v>67500000</v>
      </c>
      <c r="F10">
        <v>2900000000</v>
      </c>
      <c r="G10">
        <v>2320000000</v>
      </c>
    </row>
    <row r="11" spans="1:9" x14ac:dyDescent="0.3">
      <c r="A11">
        <v>96000000</v>
      </c>
      <c r="B11" s="5">
        <f>Данные!I11-Данные!H11</f>
        <v>8000000</v>
      </c>
      <c r="C11" s="5">
        <f>Данные!J11-Данные!I11</f>
        <v>96000000</v>
      </c>
      <c r="D11" s="1">
        <f>Данные!C11</f>
        <v>44936</v>
      </c>
      <c r="E11">
        <v>75000000</v>
      </c>
      <c r="F11">
        <v>2900000000</v>
      </c>
      <c r="G11">
        <v>2320000000</v>
      </c>
    </row>
    <row r="12" spans="1:9" x14ac:dyDescent="0.3">
      <c r="A12">
        <v>106400000</v>
      </c>
      <c r="B12" s="5">
        <f>Данные!I12-Данные!H12</f>
        <v>8000000</v>
      </c>
      <c r="C12" s="5">
        <f>Данные!J12-Данные!I12</f>
        <v>105600000</v>
      </c>
      <c r="D12" s="1">
        <f>Данные!C12</f>
        <v>44937</v>
      </c>
      <c r="E12">
        <v>82500000</v>
      </c>
      <c r="F12">
        <v>2900000000</v>
      </c>
      <c r="G12">
        <v>2320000000</v>
      </c>
    </row>
    <row r="13" spans="1:9" x14ac:dyDescent="0.3">
      <c r="A13">
        <v>116800000</v>
      </c>
      <c r="B13" s="5">
        <f>Данные!I13-Данные!H13</f>
        <v>8000000</v>
      </c>
      <c r="C13" s="5">
        <f>Данные!J13-Данные!I13</f>
        <v>115200000</v>
      </c>
      <c r="D13" s="1">
        <f>Данные!C13</f>
        <v>44938</v>
      </c>
      <c r="E13">
        <v>90000000</v>
      </c>
      <c r="F13">
        <v>2900000000</v>
      </c>
      <c r="G13">
        <v>2320000000</v>
      </c>
    </row>
    <row r="14" spans="1:9" x14ac:dyDescent="0.3">
      <c r="A14">
        <v>127200000</v>
      </c>
      <c r="B14" s="5">
        <f>Данные!I14-Данные!H14</f>
        <v>8000000</v>
      </c>
      <c r="C14" s="5">
        <f>Данные!J14-Данные!I14</f>
        <v>124800000</v>
      </c>
      <c r="D14" s="1">
        <f>Данные!C14</f>
        <v>44939</v>
      </c>
      <c r="E14">
        <v>97500000</v>
      </c>
      <c r="F14">
        <v>2900000000</v>
      </c>
      <c r="G14">
        <v>2320000000</v>
      </c>
    </row>
    <row r="15" spans="1:9" x14ac:dyDescent="0.3">
      <c r="A15">
        <v>137600000</v>
      </c>
      <c r="B15" s="5">
        <f>Данные!I15-Данные!H15</f>
        <v>8000000</v>
      </c>
      <c r="C15" s="5">
        <f>Данные!J15-Данные!I15</f>
        <v>134400000</v>
      </c>
      <c r="D15" s="1">
        <f>Данные!C15</f>
        <v>44940</v>
      </c>
      <c r="E15">
        <v>105000000</v>
      </c>
      <c r="F15">
        <v>2900000000</v>
      </c>
      <c r="G15">
        <v>2320000000</v>
      </c>
    </row>
    <row r="16" spans="1:9" x14ac:dyDescent="0.3">
      <c r="A16">
        <v>148000000</v>
      </c>
      <c r="B16" s="5">
        <f>Данные!I16-Данные!H16</f>
        <v>8000000</v>
      </c>
      <c r="C16" s="5">
        <f>Данные!J16-Данные!I16</f>
        <v>144000000</v>
      </c>
      <c r="D16" s="1">
        <f>Данные!C16</f>
        <v>44941</v>
      </c>
      <c r="E16">
        <v>112500000</v>
      </c>
      <c r="F16">
        <v>2900000000</v>
      </c>
      <c r="G16">
        <v>2320000000</v>
      </c>
    </row>
    <row r="17" spans="1:7" x14ac:dyDescent="0.3">
      <c r="A17">
        <v>158400000</v>
      </c>
      <c r="B17" s="5">
        <f>Данные!I17-Данные!H17</f>
        <v>8000000</v>
      </c>
      <c r="C17" s="5">
        <f>Данные!J17-Данные!I17</f>
        <v>153600000</v>
      </c>
      <c r="D17" s="1">
        <f>Данные!C17</f>
        <v>44942</v>
      </c>
      <c r="E17">
        <v>120000000</v>
      </c>
      <c r="F17">
        <v>2900000000</v>
      </c>
      <c r="G17">
        <v>2320000000</v>
      </c>
    </row>
    <row r="18" spans="1:7" x14ac:dyDescent="0.3">
      <c r="A18">
        <v>168800000</v>
      </c>
      <c r="B18" s="5">
        <f>Данные!I18-Данные!H18</f>
        <v>8000000</v>
      </c>
      <c r="C18" s="5">
        <f>Данные!J18-Данные!I18</f>
        <v>163200000</v>
      </c>
      <c r="D18" s="1">
        <f>Данные!C18</f>
        <v>44943</v>
      </c>
      <c r="E18">
        <v>127500000</v>
      </c>
      <c r="F18">
        <v>2900000000</v>
      </c>
      <c r="G18">
        <v>2320000000</v>
      </c>
    </row>
    <row r="19" spans="1:7" x14ac:dyDescent="0.3">
      <c r="A19">
        <v>179200000</v>
      </c>
      <c r="B19" s="5">
        <f>Данные!I19-Данные!H19</f>
        <v>8000000</v>
      </c>
      <c r="C19" s="5">
        <f>Данные!J19-Данные!I19</f>
        <v>172800000</v>
      </c>
      <c r="D19" s="1">
        <f>Данные!C19</f>
        <v>44944</v>
      </c>
      <c r="E19">
        <v>135000000</v>
      </c>
      <c r="F19">
        <v>2900000000</v>
      </c>
      <c r="G19">
        <v>2320000000</v>
      </c>
    </row>
    <row r="20" spans="1:7" x14ac:dyDescent="0.3">
      <c r="A20">
        <v>189600000</v>
      </c>
      <c r="B20" s="5">
        <f>Данные!I20-Данные!H20</f>
        <v>8000000</v>
      </c>
      <c r="C20" s="5">
        <f>Данные!J20-Данные!I20</f>
        <v>182400000</v>
      </c>
      <c r="D20" s="1">
        <f>Данные!C20</f>
        <v>44945</v>
      </c>
      <c r="E20">
        <v>142500000</v>
      </c>
      <c r="F20">
        <v>2900000000</v>
      </c>
      <c r="G20">
        <v>2320000000</v>
      </c>
    </row>
    <row r="21" spans="1:7" x14ac:dyDescent="0.3">
      <c r="A21">
        <v>200000000</v>
      </c>
      <c r="B21" s="5">
        <f>Данные!I21-Данные!H21</f>
        <v>8000000</v>
      </c>
      <c r="C21" s="5">
        <f>Данные!J21-Данные!I21</f>
        <v>192000000</v>
      </c>
      <c r="D21" s="1">
        <f>Данные!C21</f>
        <v>44946</v>
      </c>
      <c r="E21">
        <v>150000000</v>
      </c>
      <c r="F21">
        <v>2900000000</v>
      </c>
      <c r="G21">
        <v>2320000000</v>
      </c>
    </row>
    <row r="22" spans="1:7" x14ac:dyDescent="0.3">
      <c r="A22">
        <v>210400000</v>
      </c>
      <c r="B22" s="5">
        <f>Данные!I22-Данные!H22</f>
        <v>8000000</v>
      </c>
      <c r="C22" s="5">
        <f>Данные!J22-Данные!I22</f>
        <v>201600000</v>
      </c>
      <c r="D22" s="1">
        <f>Данные!C22</f>
        <v>44947</v>
      </c>
      <c r="E22">
        <v>157500000</v>
      </c>
      <c r="F22">
        <v>2900000000</v>
      </c>
      <c r="G22">
        <v>2320000000</v>
      </c>
    </row>
    <row r="23" spans="1:7" x14ac:dyDescent="0.3">
      <c r="A23">
        <v>220800000</v>
      </c>
      <c r="B23" s="5">
        <f>Данные!I23-Данные!H23</f>
        <v>8000000</v>
      </c>
      <c r="C23" s="5">
        <f>Данные!J23-Данные!I23</f>
        <v>211200000</v>
      </c>
      <c r="D23" s="1">
        <f>Данные!C23</f>
        <v>44948</v>
      </c>
      <c r="E23">
        <v>165000000</v>
      </c>
      <c r="F23">
        <v>2900000000</v>
      </c>
      <c r="G23">
        <v>2320000000</v>
      </c>
    </row>
    <row r="24" spans="1:7" x14ac:dyDescent="0.3">
      <c r="A24">
        <v>231200000</v>
      </c>
      <c r="B24" s="5">
        <f>Данные!I24-Данные!H24</f>
        <v>8000000</v>
      </c>
      <c r="C24" s="5">
        <f>Данные!J24-Данные!I24</f>
        <v>220800000</v>
      </c>
      <c r="D24" s="1">
        <f>Данные!C24</f>
        <v>44949</v>
      </c>
      <c r="E24">
        <v>172500000</v>
      </c>
      <c r="F24">
        <v>2900000000</v>
      </c>
      <c r="G24">
        <v>2320000000</v>
      </c>
    </row>
    <row r="25" spans="1:7" x14ac:dyDescent="0.3">
      <c r="A25">
        <v>241600000</v>
      </c>
      <c r="B25" s="5">
        <f>Данные!I25-Данные!H25</f>
        <v>8000000</v>
      </c>
      <c r="C25" s="5">
        <f>Данные!J25-Данные!I25</f>
        <v>230400000</v>
      </c>
      <c r="D25" s="1">
        <f>Данные!C25</f>
        <v>44950</v>
      </c>
      <c r="E25">
        <v>180000000</v>
      </c>
      <c r="F25">
        <v>2900000000</v>
      </c>
      <c r="G25">
        <v>2320000000</v>
      </c>
    </row>
    <row r="26" spans="1:7" x14ac:dyDescent="0.3">
      <c r="A26">
        <v>252000000</v>
      </c>
      <c r="B26" s="5">
        <f>Данные!I26-Данные!H26</f>
        <v>8000000</v>
      </c>
      <c r="C26" s="5">
        <f>Данные!J26-Данные!I26</f>
        <v>240000000</v>
      </c>
      <c r="D26" s="1">
        <f>Данные!C26</f>
        <v>44951</v>
      </c>
      <c r="E26">
        <v>187500000</v>
      </c>
      <c r="F26">
        <v>2900000000</v>
      </c>
      <c r="G26">
        <v>2320000000</v>
      </c>
    </row>
    <row r="27" spans="1:7" x14ac:dyDescent="0.3">
      <c r="A27">
        <v>262400000</v>
      </c>
      <c r="B27" s="5">
        <f>Данные!I27-Данные!H27</f>
        <v>8000000</v>
      </c>
      <c r="C27" s="5">
        <f>Данные!J27-Данные!I27</f>
        <v>249600000</v>
      </c>
      <c r="D27" s="1">
        <f>Данные!C27</f>
        <v>44952</v>
      </c>
      <c r="E27">
        <v>195000000</v>
      </c>
      <c r="F27">
        <v>2900000000</v>
      </c>
      <c r="G27">
        <v>2320000000</v>
      </c>
    </row>
    <row r="28" spans="1:7" x14ac:dyDescent="0.3">
      <c r="A28">
        <v>272800000</v>
      </c>
      <c r="B28" s="5">
        <f>Данные!I28-Данные!H28</f>
        <v>8000000</v>
      </c>
      <c r="C28" s="5">
        <f>Данные!J28-Данные!I28</f>
        <v>259200000</v>
      </c>
      <c r="D28" s="1">
        <f>Данные!C28</f>
        <v>44953</v>
      </c>
      <c r="E28">
        <v>202500000</v>
      </c>
      <c r="F28">
        <v>2900000000</v>
      </c>
      <c r="G28">
        <v>2320000000</v>
      </c>
    </row>
    <row r="29" spans="1:7" x14ac:dyDescent="0.3">
      <c r="A29">
        <v>283200000</v>
      </c>
      <c r="B29" s="5">
        <f>Данные!I29-Данные!H29</f>
        <v>8000000</v>
      </c>
      <c r="C29" s="5">
        <f>Данные!J29-Данные!I29</f>
        <v>268800000</v>
      </c>
      <c r="D29" s="1">
        <f>Данные!C29</f>
        <v>44954</v>
      </c>
      <c r="E29">
        <v>210000000</v>
      </c>
      <c r="F29">
        <v>2900000000</v>
      </c>
      <c r="G29">
        <v>2320000000</v>
      </c>
    </row>
    <row r="30" spans="1:7" x14ac:dyDescent="0.3">
      <c r="A30">
        <v>293600000</v>
      </c>
      <c r="B30" s="5">
        <f>Данные!I30-Данные!H30</f>
        <v>8000000</v>
      </c>
      <c r="C30" s="5">
        <f>Данные!J30-Данные!I30</f>
        <v>278400000</v>
      </c>
      <c r="D30" s="1">
        <f>Данные!C30</f>
        <v>44955</v>
      </c>
      <c r="E30">
        <v>217500000</v>
      </c>
      <c r="F30">
        <v>2900000000</v>
      </c>
      <c r="G30">
        <v>2320000000</v>
      </c>
    </row>
    <row r="31" spans="1:7" x14ac:dyDescent="0.3">
      <c r="A31">
        <v>304000000</v>
      </c>
      <c r="B31" s="5">
        <f>Данные!I31-Данные!H31</f>
        <v>8000000</v>
      </c>
      <c r="C31" s="5">
        <f>Данные!J31-Данные!I31</f>
        <v>288000000</v>
      </c>
      <c r="D31" s="1">
        <f>Данные!C31</f>
        <v>44956</v>
      </c>
      <c r="E31">
        <v>225000000</v>
      </c>
      <c r="F31">
        <v>2900000000</v>
      </c>
      <c r="G31">
        <v>2320000000</v>
      </c>
    </row>
    <row r="32" spans="1:7" x14ac:dyDescent="0.3">
      <c r="A32">
        <v>314400000</v>
      </c>
      <c r="B32" s="5">
        <f>Данные!I32-Данные!H32</f>
        <v>8000000</v>
      </c>
      <c r="C32" s="5">
        <f>Данные!J32-Данные!I32</f>
        <v>297600000</v>
      </c>
      <c r="D32" s="1">
        <f>Данные!C32</f>
        <v>44957</v>
      </c>
      <c r="E32">
        <v>232500000</v>
      </c>
      <c r="F32">
        <v>2900000000</v>
      </c>
      <c r="G32">
        <v>2320000000</v>
      </c>
    </row>
    <row r="33" spans="1:7" x14ac:dyDescent="0.3">
      <c r="A33">
        <v>324800000</v>
      </c>
      <c r="B33" s="5">
        <f>Данные!I33-Данные!H33</f>
        <v>8000000</v>
      </c>
      <c r="C33" s="5">
        <f>Данные!J33-Данные!I33</f>
        <v>307200000</v>
      </c>
      <c r="D33" s="1">
        <f>Данные!C33</f>
        <v>44958</v>
      </c>
      <c r="E33">
        <v>240000000</v>
      </c>
      <c r="F33">
        <v>2900000000</v>
      </c>
      <c r="G33">
        <v>2320000000</v>
      </c>
    </row>
    <row r="34" spans="1:7" x14ac:dyDescent="0.3">
      <c r="A34">
        <v>335200000</v>
      </c>
      <c r="B34" s="5">
        <f>Данные!I34-Данные!H34</f>
        <v>8000000</v>
      </c>
      <c r="C34" s="5">
        <f>Данные!J34-Данные!I34</f>
        <v>316800000</v>
      </c>
      <c r="D34" s="1">
        <f>Данные!C34</f>
        <v>44959</v>
      </c>
      <c r="E34">
        <v>247500000</v>
      </c>
      <c r="F34">
        <v>2900000000</v>
      </c>
      <c r="G34">
        <v>2320000000</v>
      </c>
    </row>
    <row r="35" spans="1:7" x14ac:dyDescent="0.3">
      <c r="A35">
        <v>345600000</v>
      </c>
      <c r="B35" s="5">
        <f>Данные!I35-Данные!H35</f>
        <v>8000000</v>
      </c>
      <c r="C35" s="5">
        <f>Данные!J35-Данные!I35</f>
        <v>326400000</v>
      </c>
      <c r="D35" s="1">
        <f>Данные!C35</f>
        <v>44960</v>
      </c>
      <c r="E35">
        <v>255000000</v>
      </c>
      <c r="F35">
        <v>2900000000</v>
      </c>
      <c r="G35">
        <v>2320000000</v>
      </c>
    </row>
    <row r="36" spans="1:7" x14ac:dyDescent="0.3">
      <c r="A36">
        <v>356000000</v>
      </c>
      <c r="B36" s="5">
        <f>Данные!I36-Данные!H36</f>
        <v>8000000</v>
      </c>
      <c r="C36" s="5">
        <f>Данные!J36-Данные!I36</f>
        <v>336000000</v>
      </c>
      <c r="D36" s="1">
        <f>Данные!C36</f>
        <v>44961</v>
      </c>
      <c r="E36">
        <v>262500000</v>
      </c>
      <c r="F36">
        <v>2900000000</v>
      </c>
      <c r="G36">
        <v>2320000000</v>
      </c>
    </row>
    <row r="37" spans="1:7" x14ac:dyDescent="0.3">
      <c r="A37">
        <v>366400000</v>
      </c>
      <c r="B37" s="5">
        <f>Данные!I37-Данные!H37</f>
        <v>8000000</v>
      </c>
      <c r="C37" s="5">
        <f>Данные!J37-Данные!I37</f>
        <v>345600000</v>
      </c>
      <c r="D37" s="1">
        <f>Данные!C37</f>
        <v>44962</v>
      </c>
      <c r="E37">
        <v>270000000</v>
      </c>
      <c r="F37">
        <v>2900000000</v>
      </c>
      <c r="G37">
        <v>2320000000</v>
      </c>
    </row>
    <row r="38" spans="1:7" x14ac:dyDescent="0.3">
      <c r="A38">
        <v>376800000</v>
      </c>
      <c r="B38" s="5">
        <f>Данные!I38-Данные!H38</f>
        <v>8000000</v>
      </c>
      <c r="C38" s="5">
        <f>Данные!J38-Данные!I38</f>
        <v>355200000</v>
      </c>
      <c r="D38" s="1">
        <f>Данные!C38</f>
        <v>44963</v>
      </c>
      <c r="E38">
        <v>277500000</v>
      </c>
      <c r="F38">
        <v>2900000000</v>
      </c>
      <c r="G38">
        <v>2320000000</v>
      </c>
    </row>
    <row r="39" spans="1:7" x14ac:dyDescent="0.3">
      <c r="A39">
        <v>387200000</v>
      </c>
      <c r="B39" s="5">
        <f>Данные!I39-Данные!H39</f>
        <v>8000000</v>
      </c>
      <c r="C39" s="5">
        <f>Данные!J39-Данные!I39</f>
        <v>364800000</v>
      </c>
      <c r="D39" s="1">
        <f>Данные!C39</f>
        <v>44964</v>
      </c>
      <c r="E39">
        <v>285000000</v>
      </c>
      <c r="F39">
        <v>2900000000</v>
      </c>
      <c r="G39">
        <v>2320000000</v>
      </c>
    </row>
    <row r="40" spans="1:7" x14ac:dyDescent="0.3">
      <c r="A40">
        <v>397600000</v>
      </c>
      <c r="B40" s="5">
        <f>Данные!I40-Данные!H40</f>
        <v>8000000</v>
      </c>
      <c r="C40" s="5">
        <f>Данные!J40-Данные!I40</f>
        <v>374400000</v>
      </c>
      <c r="D40" s="1">
        <f>Данные!C40</f>
        <v>44965</v>
      </c>
      <c r="E40">
        <v>292500000</v>
      </c>
      <c r="F40">
        <v>2900000000</v>
      </c>
      <c r="G40">
        <v>2320000000</v>
      </c>
    </row>
    <row r="41" spans="1:7" x14ac:dyDescent="0.3">
      <c r="A41">
        <v>408000000</v>
      </c>
      <c r="B41" s="5">
        <f>Данные!I41-Данные!H41</f>
        <v>8000000</v>
      </c>
      <c r="C41" s="5">
        <f>Данные!J41-Данные!I41</f>
        <v>384000000</v>
      </c>
      <c r="D41" s="1">
        <f>Данные!C41</f>
        <v>44966</v>
      </c>
      <c r="E41">
        <v>300000000</v>
      </c>
      <c r="F41">
        <v>2900000000</v>
      </c>
      <c r="G41">
        <v>2320000000</v>
      </c>
    </row>
    <row r="42" spans="1:7" x14ac:dyDescent="0.3">
      <c r="A42">
        <v>418400000</v>
      </c>
      <c r="B42" s="5">
        <f>Данные!I42-Данные!H42</f>
        <v>8000000</v>
      </c>
      <c r="C42" s="5">
        <f>Данные!J42-Данные!I42</f>
        <v>393600000</v>
      </c>
      <c r="D42" s="1">
        <f>Данные!C42</f>
        <v>44967</v>
      </c>
      <c r="E42">
        <v>307500000</v>
      </c>
      <c r="F42">
        <v>2900000000</v>
      </c>
      <c r="G42">
        <v>2320000000</v>
      </c>
    </row>
    <row r="43" spans="1:7" x14ac:dyDescent="0.3">
      <c r="A43">
        <v>428800000</v>
      </c>
      <c r="B43" s="5">
        <f>Данные!I43-Данные!H43</f>
        <v>8000000</v>
      </c>
      <c r="C43" s="5">
        <f>Данные!J43-Данные!I43</f>
        <v>403200000</v>
      </c>
      <c r="D43" s="1">
        <f>Данные!C43</f>
        <v>44968</v>
      </c>
      <c r="E43">
        <v>315000000</v>
      </c>
      <c r="F43">
        <v>2900000000</v>
      </c>
      <c r="G43">
        <v>2320000000</v>
      </c>
    </row>
    <row r="44" spans="1:7" x14ac:dyDescent="0.3">
      <c r="A44">
        <v>439200000</v>
      </c>
      <c r="B44" s="5">
        <f>Данные!I44-Данные!H44</f>
        <v>8000000</v>
      </c>
      <c r="C44" s="5">
        <f>Данные!J44-Данные!I44</f>
        <v>412800000</v>
      </c>
      <c r="D44" s="1">
        <f>Данные!C44</f>
        <v>44969</v>
      </c>
      <c r="E44">
        <v>322500000</v>
      </c>
      <c r="F44">
        <v>2900000000</v>
      </c>
      <c r="G44">
        <v>2320000000</v>
      </c>
    </row>
    <row r="45" spans="1:7" x14ac:dyDescent="0.3">
      <c r="A45">
        <v>449600000</v>
      </c>
      <c r="B45" s="5">
        <f>Данные!I45-Данные!H45</f>
        <v>8000000</v>
      </c>
      <c r="C45" s="5">
        <f>Данные!J45-Данные!I45</f>
        <v>422400000</v>
      </c>
      <c r="D45" s="1">
        <f>Данные!C45</f>
        <v>44970</v>
      </c>
      <c r="E45">
        <v>330000000</v>
      </c>
      <c r="F45">
        <v>2900000000</v>
      </c>
      <c r="G45">
        <v>2320000000</v>
      </c>
    </row>
    <row r="46" spans="1:7" x14ac:dyDescent="0.3">
      <c r="A46">
        <v>460000000</v>
      </c>
      <c r="B46" s="5">
        <f>Данные!I46-Данные!H46</f>
        <v>8000000</v>
      </c>
      <c r="C46" s="5">
        <f>Данные!J46-Данные!I46</f>
        <v>432000000</v>
      </c>
      <c r="D46" s="1">
        <f>Данные!C46</f>
        <v>44971</v>
      </c>
      <c r="E46">
        <v>337500000</v>
      </c>
      <c r="F46">
        <v>2900000000</v>
      </c>
      <c r="G46">
        <v>2320000000</v>
      </c>
    </row>
    <row r="47" spans="1:7" x14ac:dyDescent="0.3">
      <c r="A47">
        <v>470400000</v>
      </c>
      <c r="B47" s="5">
        <f>Данные!I47-Данные!H47</f>
        <v>8000000</v>
      </c>
      <c r="C47" s="5">
        <f>Данные!J47-Данные!I47</f>
        <v>441600000</v>
      </c>
      <c r="D47" s="1">
        <f>Данные!C47</f>
        <v>44972</v>
      </c>
      <c r="E47">
        <v>345000000</v>
      </c>
      <c r="F47">
        <v>2900000000</v>
      </c>
      <c r="G47">
        <v>2320000000</v>
      </c>
    </row>
    <row r="48" spans="1:7" x14ac:dyDescent="0.3">
      <c r="A48">
        <v>480800000</v>
      </c>
      <c r="B48" s="5">
        <f>Данные!I48-Данные!H48</f>
        <v>8000000</v>
      </c>
      <c r="C48" s="5">
        <f>Данные!J48-Данные!I48</f>
        <v>451200000</v>
      </c>
      <c r="D48" s="1">
        <f>Данные!C48</f>
        <v>44973</v>
      </c>
      <c r="E48">
        <v>352500000</v>
      </c>
      <c r="F48">
        <v>2900000000</v>
      </c>
      <c r="G48">
        <v>2320000000</v>
      </c>
    </row>
    <row r="49" spans="1:7" x14ac:dyDescent="0.3">
      <c r="A49">
        <v>491200000</v>
      </c>
      <c r="B49" s="5">
        <f>Данные!I49-Данные!H49</f>
        <v>8000000</v>
      </c>
      <c r="C49" s="5">
        <f>Данные!J49-Данные!I49</f>
        <v>460800000</v>
      </c>
      <c r="D49" s="1">
        <f>Данные!C49</f>
        <v>44974</v>
      </c>
      <c r="E49">
        <v>360000000</v>
      </c>
      <c r="F49">
        <v>2900000000</v>
      </c>
      <c r="G49">
        <v>2320000000</v>
      </c>
    </row>
    <row r="50" spans="1:7" x14ac:dyDescent="0.3">
      <c r="A50">
        <v>501600000</v>
      </c>
      <c r="B50" s="5">
        <f>Данные!I50-Данные!H50</f>
        <v>8000000</v>
      </c>
      <c r="C50" s="5">
        <f>Данные!J50-Данные!I50</f>
        <v>470400000</v>
      </c>
      <c r="D50" s="1">
        <f>Данные!C50</f>
        <v>44975</v>
      </c>
      <c r="E50">
        <v>367500000</v>
      </c>
      <c r="F50">
        <v>2900000000</v>
      </c>
      <c r="G50">
        <v>2320000000</v>
      </c>
    </row>
    <row r="51" spans="1:7" x14ac:dyDescent="0.3">
      <c r="A51">
        <v>512000000</v>
      </c>
      <c r="B51" s="5">
        <f>Данные!I51-Данные!H51</f>
        <v>8000000</v>
      </c>
      <c r="C51" s="5">
        <f>Данные!J51-Данные!I51</f>
        <v>480000000</v>
      </c>
      <c r="D51" s="1">
        <f>Данные!C51</f>
        <v>44976</v>
      </c>
      <c r="E51">
        <v>375000000</v>
      </c>
      <c r="F51">
        <v>2900000000</v>
      </c>
      <c r="G51">
        <v>2320000000</v>
      </c>
    </row>
    <row r="52" spans="1:7" x14ac:dyDescent="0.3">
      <c r="A52">
        <v>522400000</v>
      </c>
      <c r="B52" s="5">
        <f>Данные!I52-Данные!H52</f>
        <v>8000000</v>
      </c>
      <c r="C52" s="5">
        <f>Данные!J52-Данные!I52</f>
        <v>489600000</v>
      </c>
      <c r="D52" s="1">
        <f>Данные!C52</f>
        <v>44977</v>
      </c>
      <c r="E52">
        <v>382500000</v>
      </c>
      <c r="F52">
        <v>2900000000</v>
      </c>
      <c r="G52">
        <v>2320000000</v>
      </c>
    </row>
    <row r="53" spans="1:7" x14ac:dyDescent="0.3">
      <c r="A53">
        <v>532800000</v>
      </c>
      <c r="B53" s="5">
        <f>Данные!I53-Данные!H53</f>
        <v>8000000</v>
      </c>
      <c r="C53" s="5">
        <f>Данные!J53-Данные!I53</f>
        <v>499200000</v>
      </c>
      <c r="D53" s="1">
        <f>Данные!C53</f>
        <v>44978</v>
      </c>
      <c r="E53">
        <v>390000000</v>
      </c>
      <c r="F53">
        <v>2900000000</v>
      </c>
      <c r="G53">
        <v>2320000000</v>
      </c>
    </row>
    <row r="54" spans="1:7" x14ac:dyDescent="0.3">
      <c r="A54">
        <v>543200000</v>
      </c>
      <c r="B54" s="5">
        <f>Данные!I54-Данные!H54</f>
        <v>8000000</v>
      </c>
      <c r="C54" s="5">
        <f>Данные!J54-Данные!I54</f>
        <v>508800000</v>
      </c>
      <c r="D54" s="1">
        <f>Данные!C54</f>
        <v>44979</v>
      </c>
      <c r="E54">
        <v>397500000</v>
      </c>
      <c r="F54">
        <v>2900000000</v>
      </c>
      <c r="G54">
        <v>2320000000</v>
      </c>
    </row>
    <row r="55" spans="1:7" x14ac:dyDescent="0.3">
      <c r="A55">
        <v>553600000</v>
      </c>
      <c r="B55" s="5">
        <f>Данные!I55-Данные!H55</f>
        <v>8000000</v>
      </c>
      <c r="C55" s="5">
        <f>Данные!J55-Данные!I55</f>
        <v>518400000</v>
      </c>
      <c r="D55" s="1">
        <f>Данные!C55</f>
        <v>44980</v>
      </c>
      <c r="E55">
        <v>405000000</v>
      </c>
      <c r="F55">
        <v>2900000000</v>
      </c>
      <c r="G55">
        <v>2320000000</v>
      </c>
    </row>
    <row r="56" spans="1:7" x14ac:dyDescent="0.3">
      <c r="A56">
        <v>564000000</v>
      </c>
      <c r="B56" s="5">
        <f>Данные!I56-Данные!H56</f>
        <v>8000000</v>
      </c>
      <c r="C56" s="5">
        <f>Данные!J56-Данные!I56</f>
        <v>528000000</v>
      </c>
      <c r="D56" s="1">
        <f>Данные!C56</f>
        <v>44981</v>
      </c>
      <c r="E56">
        <v>412500000</v>
      </c>
      <c r="F56">
        <v>2900000000</v>
      </c>
      <c r="G56">
        <v>2320000000</v>
      </c>
    </row>
    <row r="57" spans="1:7" x14ac:dyDescent="0.3">
      <c r="A57">
        <v>574400000</v>
      </c>
      <c r="B57" s="5">
        <f>Данные!I57-Данные!H57</f>
        <v>8000000</v>
      </c>
      <c r="C57" s="5">
        <f>Данные!J57-Данные!I57</f>
        <v>537600000</v>
      </c>
      <c r="D57" s="1">
        <f>Данные!C57</f>
        <v>44982</v>
      </c>
      <c r="E57">
        <v>420000000</v>
      </c>
      <c r="F57">
        <v>2900000000</v>
      </c>
      <c r="G57">
        <v>2320000000</v>
      </c>
    </row>
    <row r="58" spans="1:7" x14ac:dyDescent="0.3">
      <c r="A58">
        <v>584800000</v>
      </c>
      <c r="B58" s="5">
        <f>Данные!I58-Данные!H58</f>
        <v>8000000</v>
      </c>
      <c r="C58" s="5">
        <f>Данные!J58-Данные!I58</f>
        <v>547200000</v>
      </c>
      <c r="D58" s="1">
        <f>Данные!C58</f>
        <v>44983</v>
      </c>
      <c r="E58">
        <v>427500000</v>
      </c>
      <c r="F58">
        <v>2900000000</v>
      </c>
      <c r="G58">
        <v>2320000000</v>
      </c>
    </row>
    <row r="59" spans="1:7" x14ac:dyDescent="0.3">
      <c r="A59">
        <v>595200000</v>
      </c>
      <c r="B59" s="5">
        <f>Данные!I59-Данные!H59</f>
        <v>8000000</v>
      </c>
      <c r="C59" s="5">
        <f>Данные!J59-Данные!I59</f>
        <v>556800000</v>
      </c>
      <c r="D59" s="1">
        <f>Данные!C59</f>
        <v>44984</v>
      </c>
      <c r="E59">
        <v>435000000</v>
      </c>
      <c r="F59">
        <v>2900000000</v>
      </c>
      <c r="G59">
        <v>2320000000</v>
      </c>
    </row>
    <row r="60" spans="1:7" x14ac:dyDescent="0.3">
      <c r="A60">
        <v>605600000</v>
      </c>
      <c r="B60" s="5">
        <f>Данные!I60-Данные!H60</f>
        <v>8000000</v>
      </c>
      <c r="C60" s="5">
        <f>Данные!J60-Данные!I60</f>
        <v>566400000</v>
      </c>
      <c r="D60" s="1">
        <f>Данные!C60</f>
        <v>44985</v>
      </c>
      <c r="E60">
        <v>442500000</v>
      </c>
      <c r="F60">
        <v>2900000000</v>
      </c>
      <c r="G60">
        <v>2320000000</v>
      </c>
    </row>
    <row r="61" spans="1:7" x14ac:dyDescent="0.3">
      <c r="A61">
        <v>616000000</v>
      </c>
      <c r="B61" s="5">
        <f>Данные!I61-Данные!H61</f>
        <v>8000000</v>
      </c>
      <c r="C61" s="5">
        <f>Данные!J61-Данные!I61</f>
        <v>576000000</v>
      </c>
      <c r="D61" s="1">
        <f>Данные!C61</f>
        <v>44986</v>
      </c>
      <c r="E61">
        <v>450000000</v>
      </c>
      <c r="F61">
        <v>2900000000</v>
      </c>
      <c r="G61">
        <v>2320000000</v>
      </c>
    </row>
    <row r="62" spans="1:7" x14ac:dyDescent="0.3">
      <c r="A62">
        <v>626400000</v>
      </c>
      <c r="B62" s="5">
        <f>Данные!I62-Данные!H62</f>
        <v>8000000</v>
      </c>
      <c r="C62" s="5">
        <f>Данные!J62-Данные!I62</f>
        <v>585600000</v>
      </c>
      <c r="D62" s="1">
        <f>Данные!C62</f>
        <v>44987</v>
      </c>
      <c r="E62">
        <v>457500000</v>
      </c>
      <c r="F62">
        <v>2900000000</v>
      </c>
      <c r="G62">
        <v>2320000000</v>
      </c>
    </row>
    <row r="63" spans="1:7" x14ac:dyDescent="0.3">
      <c r="A63">
        <v>636800000</v>
      </c>
      <c r="B63" s="5">
        <f>Данные!I63-Данные!H63</f>
        <v>8000000</v>
      </c>
      <c r="C63" s="5">
        <f>Данные!J63-Данные!I63</f>
        <v>595200000</v>
      </c>
      <c r="D63" s="1">
        <f>Данные!C63</f>
        <v>44988</v>
      </c>
      <c r="E63">
        <v>465000000</v>
      </c>
      <c r="F63">
        <v>2900000000</v>
      </c>
      <c r="G63">
        <v>2320000000</v>
      </c>
    </row>
    <row r="64" spans="1:7" x14ac:dyDescent="0.3">
      <c r="A64">
        <v>647200000</v>
      </c>
      <c r="B64" s="5">
        <f>Данные!I64-Данные!H64</f>
        <v>8000000</v>
      </c>
      <c r="C64" s="5">
        <f>Данные!J64-Данные!I64</f>
        <v>604800000</v>
      </c>
      <c r="D64" s="1">
        <f>Данные!C64</f>
        <v>44989</v>
      </c>
      <c r="E64">
        <v>472500000</v>
      </c>
      <c r="F64">
        <v>2900000000</v>
      </c>
      <c r="G64">
        <v>2320000000</v>
      </c>
    </row>
    <row r="65" spans="1:7" x14ac:dyDescent="0.3">
      <c r="A65">
        <v>657600000</v>
      </c>
      <c r="B65" s="5">
        <f>Данные!I65-Данные!H65</f>
        <v>8000000</v>
      </c>
      <c r="C65" s="5">
        <f>Данные!J65-Данные!I65</f>
        <v>614400000</v>
      </c>
      <c r="D65" s="1">
        <f>Данные!C65</f>
        <v>44990</v>
      </c>
      <c r="E65">
        <v>480000000</v>
      </c>
      <c r="F65">
        <v>2900000000</v>
      </c>
      <c r="G65">
        <v>2320000000</v>
      </c>
    </row>
    <row r="66" spans="1:7" x14ac:dyDescent="0.3">
      <c r="A66">
        <v>668000000</v>
      </c>
      <c r="B66" s="5">
        <f>Данные!I66-Данные!H66</f>
        <v>8000000</v>
      </c>
      <c r="C66" s="5">
        <f>Данные!J66-Данные!I66</f>
        <v>624000000</v>
      </c>
      <c r="D66" s="1">
        <f>Данные!C66</f>
        <v>44991</v>
      </c>
      <c r="E66">
        <v>487500000</v>
      </c>
      <c r="F66">
        <v>2900000000</v>
      </c>
      <c r="G66">
        <v>2320000000</v>
      </c>
    </row>
    <row r="67" spans="1:7" x14ac:dyDescent="0.3">
      <c r="A67">
        <v>678400000</v>
      </c>
      <c r="B67" s="5">
        <f>Данные!I67-Данные!H67</f>
        <v>8000000</v>
      </c>
      <c r="C67" s="5">
        <f>Данные!J67-Данные!I67</f>
        <v>633600000</v>
      </c>
      <c r="D67" s="1">
        <f>Данные!C67</f>
        <v>44992</v>
      </c>
      <c r="E67">
        <v>495000000</v>
      </c>
      <c r="F67">
        <v>2900000000</v>
      </c>
      <c r="G67">
        <v>2320000000</v>
      </c>
    </row>
    <row r="68" spans="1:7" x14ac:dyDescent="0.3">
      <c r="A68">
        <v>688800000</v>
      </c>
      <c r="B68" s="5">
        <f>Данные!I68-Данные!H68</f>
        <v>8000000</v>
      </c>
      <c r="C68" s="5">
        <f>Данные!J68-Данные!I68</f>
        <v>643200000</v>
      </c>
      <c r="D68" s="1">
        <f>Данные!C68</f>
        <v>44993</v>
      </c>
      <c r="E68">
        <v>502500000</v>
      </c>
      <c r="F68">
        <v>2900000000</v>
      </c>
      <c r="G68">
        <v>2320000000</v>
      </c>
    </row>
    <row r="69" spans="1:7" x14ac:dyDescent="0.3">
      <c r="A69">
        <v>699200000</v>
      </c>
      <c r="B69" s="5">
        <f>Данные!I69-Данные!H69</f>
        <v>8000000</v>
      </c>
      <c r="C69" s="5">
        <f>Данные!J69-Данные!I69</f>
        <v>652800000</v>
      </c>
      <c r="D69" s="1">
        <f>Данные!C69</f>
        <v>44994</v>
      </c>
      <c r="E69">
        <v>510000000</v>
      </c>
      <c r="F69">
        <v>2900000000</v>
      </c>
      <c r="G69">
        <v>2320000000</v>
      </c>
    </row>
    <row r="70" spans="1:7" x14ac:dyDescent="0.3">
      <c r="A70">
        <v>709600000</v>
      </c>
      <c r="B70" s="5">
        <f>Данные!I70-Данные!H70</f>
        <v>8000000</v>
      </c>
      <c r="C70" s="5">
        <f>Данные!J70-Данные!I70</f>
        <v>662400000</v>
      </c>
      <c r="D70" s="1">
        <f>Данные!C70</f>
        <v>44995</v>
      </c>
      <c r="E70">
        <v>517500000</v>
      </c>
      <c r="F70">
        <v>2900000000</v>
      </c>
      <c r="G70">
        <v>2320000000</v>
      </c>
    </row>
    <row r="71" spans="1:7" x14ac:dyDescent="0.3">
      <c r="A71">
        <v>720000000</v>
      </c>
      <c r="B71" s="5">
        <f>Данные!I71-Данные!H71</f>
        <v>8000000</v>
      </c>
      <c r="C71" s="5">
        <f>Данные!J71-Данные!I71</f>
        <v>672000000</v>
      </c>
      <c r="D71" s="1">
        <f>Данные!C71</f>
        <v>44996</v>
      </c>
      <c r="E71">
        <v>525000000</v>
      </c>
      <c r="F71">
        <v>2900000000</v>
      </c>
      <c r="G71">
        <v>2320000000</v>
      </c>
    </row>
    <row r="72" spans="1:7" x14ac:dyDescent="0.3">
      <c r="A72">
        <v>730400000</v>
      </c>
      <c r="B72" s="5">
        <f>Данные!I72-Данные!H72</f>
        <v>8000000</v>
      </c>
      <c r="C72" s="5">
        <f>Данные!J72-Данные!I72</f>
        <v>681600000</v>
      </c>
      <c r="D72" s="1">
        <f>Данные!C72</f>
        <v>44997</v>
      </c>
      <c r="E72">
        <v>532500000</v>
      </c>
      <c r="F72">
        <v>2900000000</v>
      </c>
      <c r="G72">
        <v>2320000000</v>
      </c>
    </row>
    <row r="73" spans="1:7" x14ac:dyDescent="0.3">
      <c r="A73">
        <v>740800000</v>
      </c>
      <c r="B73" s="5">
        <f>Данные!I73-Данные!H73</f>
        <v>8000000</v>
      </c>
      <c r="C73" s="5">
        <f>Данные!J73-Данные!I73</f>
        <v>691200000</v>
      </c>
      <c r="D73" s="1">
        <f>Данные!C73</f>
        <v>44998</v>
      </c>
      <c r="E73">
        <v>540000000</v>
      </c>
      <c r="F73">
        <v>2900000000</v>
      </c>
      <c r="G73">
        <v>2320000000</v>
      </c>
    </row>
    <row r="74" spans="1:7" x14ac:dyDescent="0.3">
      <c r="A74">
        <v>751200000</v>
      </c>
      <c r="B74" s="5">
        <f>Данные!I74-Данные!H74</f>
        <v>8000000</v>
      </c>
      <c r="C74" s="5">
        <f>Данные!J74-Данные!I74</f>
        <v>700800000</v>
      </c>
      <c r="D74" s="1">
        <f>Данные!C74</f>
        <v>44999</v>
      </c>
      <c r="E74">
        <v>547500000</v>
      </c>
      <c r="F74">
        <v>2900000000</v>
      </c>
      <c r="G74">
        <v>2320000000</v>
      </c>
    </row>
    <row r="75" spans="1:7" x14ac:dyDescent="0.3">
      <c r="A75">
        <v>761600000</v>
      </c>
      <c r="B75" s="5">
        <f>Данные!I75-Данные!H75</f>
        <v>8000000</v>
      </c>
      <c r="C75" s="5">
        <f>Данные!J75-Данные!I75</f>
        <v>710400000</v>
      </c>
      <c r="D75" s="1">
        <f>Данные!C75</f>
        <v>45000</v>
      </c>
      <c r="E75">
        <v>555000000</v>
      </c>
      <c r="F75">
        <v>2900000000</v>
      </c>
      <c r="G75">
        <v>2320000000</v>
      </c>
    </row>
    <row r="76" spans="1:7" x14ac:dyDescent="0.3">
      <c r="A76">
        <v>772000000</v>
      </c>
      <c r="B76" s="5">
        <f>Данные!I76-Данные!H76</f>
        <v>8000000</v>
      </c>
      <c r="C76" s="5">
        <f>Данные!J76-Данные!I76</f>
        <v>720000000</v>
      </c>
      <c r="D76" s="1">
        <f>Данные!C76</f>
        <v>45001</v>
      </c>
      <c r="E76">
        <v>562500000</v>
      </c>
      <c r="F76">
        <v>2900000000</v>
      </c>
      <c r="G76">
        <v>2320000000</v>
      </c>
    </row>
    <row r="77" spans="1:7" x14ac:dyDescent="0.3">
      <c r="A77">
        <v>782400000</v>
      </c>
      <c r="B77" s="5">
        <f>Данные!I77-Данные!H77</f>
        <v>8000000</v>
      </c>
      <c r="C77" s="5">
        <f>Данные!J77-Данные!I77</f>
        <v>729600000</v>
      </c>
      <c r="D77" s="1">
        <f>Данные!C77</f>
        <v>45002</v>
      </c>
      <c r="E77">
        <v>570000000</v>
      </c>
      <c r="F77">
        <v>2900000000</v>
      </c>
      <c r="G77">
        <v>2320000000</v>
      </c>
    </row>
    <row r="78" spans="1:7" x14ac:dyDescent="0.3">
      <c r="A78">
        <v>792800000</v>
      </c>
      <c r="B78" s="5">
        <f>Данные!I78-Данные!H78</f>
        <v>8000000</v>
      </c>
      <c r="C78" s="5">
        <f>Данные!J78-Данные!I78</f>
        <v>739200000</v>
      </c>
      <c r="D78" s="1">
        <f>Данные!C78</f>
        <v>45003</v>
      </c>
      <c r="E78">
        <v>577500000</v>
      </c>
      <c r="F78">
        <v>2900000000</v>
      </c>
      <c r="G78">
        <v>2320000000</v>
      </c>
    </row>
    <row r="79" spans="1:7" x14ac:dyDescent="0.3">
      <c r="A79">
        <v>803200000</v>
      </c>
      <c r="B79" s="5">
        <f>Данные!I79-Данные!H79</f>
        <v>8000000</v>
      </c>
      <c r="C79" s="5">
        <f>Данные!J79-Данные!I79</f>
        <v>748800000</v>
      </c>
      <c r="D79" s="1">
        <f>Данные!C79</f>
        <v>45004</v>
      </c>
      <c r="E79">
        <v>585000000</v>
      </c>
      <c r="F79">
        <v>2900000000</v>
      </c>
      <c r="G79">
        <v>2320000000</v>
      </c>
    </row>
    <row r="80" spans="1:7" x14ac:dyDescent="0.3">
      <c r="A80">
        <v>813600000</v>
      </c>
      <c r="B80" s="5">
        <f>Данные!I80-Данные!H80</f>
        <v>8000000</v>
      </c>
      <c r="C80" s="5">
        <f>Данные!J80-Данные!I80</f>
        <v>758400000</v>
      </c>
      <c r="D80" s="1">
        <f>Данные!C80</f>
        <v>45005</v>
      </c>
      <c r="E80">
        <v>592500000</v>
      </c>
      <c r="F80">
        <v>2900000000</v>
      </c>
      <c r="G80">
        <v>2320000000</v>
      </c>
    </row>
    <row r="81" spans="1:9" x14ac:dyDescent="0.3">
      <c r="A81">
        <v>824000000</v>
      </c>
      <c r="B81" s="5">
        <f>Данные!I81-Данные!H81</f>
        <v>8000000</v>
      </c>
      <c r="C81" s="5">
        <f>Данные!J81-Данные!I81</f>
        <v>768000000</v>
      </c>
      <c r="D81" s="1">
        <f>Данные!C81</f>
        <v>45006</v>
      </c>
      <c r="E81">
        <v>600000000</v>
      </c>
      <c r="F81">
        <v>2900000000</v>
      </c>
      <c r="G81">
        <v>2320000000</v>
      </c>
    </row>
    <row r="82" spans="1:9" x14ac:dyDescent="0.3">
      <c r="A82">
        <v>834400000</v>
      </c>
      <c r="B82" s="5">
        <f>Данные!I82-Данные!H82</f>
        <v>8000000</v>
      </c>
      <c r="C82" s="5">
        <f>Данные!J82-Данные!I82</f>
        <v>777600000</v>
      </c>
      <c r="D82" s="1">
        <f>Данные!C82</f>
        <v>45007</v>
      </c>
      <c r="E82">
        <v>607500000</v>
      </c>
      <c r="F82">
        <v>2900000000</v>
      </c>
      <c r="G82">
        <v>2320000000</v>
      </c>
    </row>
    <row r="83" spans="1:9" x14ac:dyDescent="0.3">
      <c r="A83">
        <v>844800000</v>
      </c>
      <c r="B83" s="5">
        <f>Данные!I83-Данные!H83</f>
        <v>8000000</v>
      </c>
      <c r="C83" s="5">
        <f>Данные!J83-Данные!I83</f>
        <v>787200000</v>
      </c>
      <c r="D83" s="1">
        <f>Данные!C83</f>
        <v>45008</v>
      </c>
      <c r="E83">
        <v>615000000</v>
      </c>
      <c r="F83">
        <v>2900000000</v>
      </c>
      <c r="G83">
        <v>2320000000</v>
      </c>
    </row>
    <row r="84" spans="1:9" x14ac:dyDescent="0.3">
      <c r="A84">
        <v>855200000</v>
      </c>
      <c r="B84" s="5">
        <f>Данные!I84-Данные!H84</f>
        <v>8000000</v>
      </c>
      <c r="C84" s="5">
        <f>Данные!J84-Данные!I84</f>
        <v>796800000</v>
      </c>
      <c r="D84" s="1">
        <f>Данные!C84</f>
        <v>45009</v>
      </c>
      <c r="E84">
        <v>622500000</v>
      </c>
      <c r="F84">
        <v>2900000000</v>
      </c>
      <c r="G84">
        <v>2320000000</v>
      </c>
    </row>
    <row r="85" spans="1:9" x14ac:dyDescent="0.3">
      <c r="A85">
        <v>865600000</v>
      </c>
      <c r="B85" s="5">
        <f>Данные!I85-Данные!H85</f>
        <v>8000000</v>
      </c>
      <c r="C85" s="5">
        <f>Данные!J85-Данные!I85</f>
        <v>806400000</v>
      </c>
      <c r="D85" s="1">
        <f>Данные!C85</f>
        <v>45010</v>
      </c>
      <c r="E85">
        <v>630000000</v>
      </c>
      <c r="F85">
        <v>2900000000</v>
      </c>
      <c r="G85">
        <v>2320000000</v>
      </c>
    </row>
    <row r="86" spans="1:9" x14ac:dyDescent="0.3">
      <c r="A86">
        <v>876000000</v>
      </c>
      <c r="B86" s="5">
        <f>Данные!I86-Данные!H86</f>
        <v>8000000</v>
      </c>
      <c r="C86" s="5">
        <f>Данные!J86-Данные!I86</f>
        <v>816000000</v>
      </c>
      <c r="D86" s="1">
        <f>Данные!C86</f>
        <v>45011</v>
      </c>
      <c r="E86">
        <v>637500000</v>
      </c>
      <c r="F86">
        <v>2900000000</v>
      </c>
      <c r="G86">
        <v>2320000000</v>
      </c>
    </row>
    <row r="87" spans="1:9" x14ac:dyDescent="0.3">
      <c r="A87">
        <v>886400000</v>
      </c>
      <c r="B87" s="5">
        <f>Данные!I87-Данные!H87</f>
        <v>8000000</v>
      </c>
      <c r="C87" s="5">
        <f>Данные!J87-Данные!I87</f>
        <v>825600000</v>
      </c>
      <c r="D87" s="1">
        <f>Данные!C87</f>
        <v>45012</v>
      </c>
      <c r="E87">
        <v>645000000</v>
      </c>
      <c r="F87">
        <v>2900000000</v>
      </c>
      <c r="G87">
        <v>2320000000</v>
      </c>
    </row>
    <row r="88" spans="1:9" x14ac:dyDescent="0.3">
      <c r="A88">
        <v>896800000</v>
      </c>
      <c r="B88" s="5">
        <f>Данные!I88-Данные!H88</f>
        <v>8000000</v>
      </c>
      <c r="C88" s="5">
        <f>Данные!J88-Данные!I88</f>
        <v>835200000</v>
      </c>
      <c r="D88" s="1">
        <f>Данные!C88</f>
        <v>45013</v>
      </c>
      <c r="E88">
        <v>652500000</v>
      </c>
      <c r="F88">
        <v>2900000000</v>
      </c>
      <c r="G88">
        <v>2320000000</v>
      </c>
    </row>
    <row r="89" spans="1:9" x14ac:dyDescent="0.3">
      <c r="A89">
        <v>907200000</v>
      </c>
      <c r="B89" s="5">
        <f>Данные!I89-Данные!H89</f>
        <v>8000000</v>
      </c>
      <c r="C89" s="5">
        <f>Данные!J89-Данные!I89</f>
        <v>844800000</v>
      </c>
      <c r="D89" s="1">
        <f>Данные!C89</f>
        <v>45014</v>
      </c>
      <c r="E89">
        <v>660000000</v>
      </c>
      <c r="F89">
        <v>2900000000</v>
      </c>
      <c r="G89">
        <v>2320000000</v>
      </c>
    </row>
    <row r="90" spans="1:9" x14ac:dyDescent="0.3">
      <c r="A90">
        <v>917600000</v>
      </c>
      <c r="B90" s="5">
        <f>Данные!I90-Данные!H90</f>
        <v>8000000</v>
      </c>
      <c r="C90" s="5">
        <f>Данные!J90-Данные!I90</f>
        <v>854400000</v>
      </c>
      <c r="D90" s="1">
        <f>Данные!C90</f>
        <v>45015</v>
      </c>
      <c r="E90">
        <v>667500000</v>
      </c>
      <c r="F90">
        <v>2900000000</v>
      </c>
      <c r="G90">
        <v>2320000000</v>
      </c>
    </row>
    <row r="91" spans="1:9" x14ac:dyDescent="0.3">
      <c r="A91">
        <v>928000000</v>
      </c>
      <c r="B91" s="5">
        <f>Данные!I91-Данные!H91</f>
        <v>8000000</v>
      </c>
      <c r="C91" s="5">
        <f>Данные!J91-Данные!I91</f>
        <v>864000000</v>
      </c>
      <c r="D91" s="1">
        <f>Данные!C91</f>
        <v>45016</v>
      </c>
      <c r="E91">
        <v>675000000</v>
      </c>
      <c r="F91">
        <v>2900000000</v>
      </c>
      <c r="G91">
        <v>2320000000</v>
      </c>
    </row>
    <row r="92" spans="1:9" x14ac:dyDescent="0.3">
      <c r="A92">
        <v>928000000</v>
      </c>
      <c r="B92" s="5">
        <f>Данные!I92-Данные!H92</f>
        <v>18400000</v>
      </c>
      <c r="C92" s="5">
        <f>Данные!J92-Данные!I92</f>
        <v>873600000</v>
      </c>
      <c r="D92" s="1">
        <f>Данные!C92</f>
        <v>45017</v>
      </c>
      <c r="E92">
        <v>682500000</v>
      </c>
      <c r="F92">
        <v>2900000000</v>
      </c>
      <c r="G92">
        <v>2320000000</v>
      </c>
      <c r="I92">
        <v>493000000</v>
      </c>
    </row>
    <row r="93" spans="1:9" x14ac:dyDescent="0.3">
      <c r="A93">
        <v>928000000</v>
      </c>
      <c r="B93" s="5">
        <f>Данные!I93-Данные!H93</f>
        <v>28800000</v>
      </c>
      <c r="C93" s="5">
        <f>Данные!J93-Данные!I93</f>
        <v>883200000</v>
      </c>
      <c r="D93" s="1">
        <f>Данные!C93</f>
        <v>45018</v>
      </c>
      <c r="E93">
        <v>690000000</v>
      </c>
      <c r="F93">
        <v>2900000000</v>
      </c>
      <c r="G93">
        <v>2320000000</v>
      </c>
      <c r="I93">
        <v>493000000</v>
      </c>
    </row>
    <row r="94" spans="1:9" x14ac:dyDescent="0.3">
      <c r="A94">
        <v>928000000</v>
      </c>
      <c r="B94" s="5">
        <f>Данные!I94-Данные!H94</f>
        <v>39200000</v>
      </c>
      <c r="C94" s="5">
        <f>Данные!J94-Данные!I94</f>
        <v>892800000</v>
      </c>
      <c r="D94" s="1">
        <f>Данные!C94</f>
        <v>45019</v>
      </c>
      <c r="E94">
        <v>697500000</v>
      </c>
      <c r="F94">
        <v>2900000000</v>
      </c>
      <c r="G94">
        <v>2320000000</v>
      </c>
      <c r="I94">
        <v>493000000</v>
      </c>
    </row>
    <row r="95" spans="1:9" x14ac:dyDescent="0.3">
      <c r="A95">
        <v>928000000</v>
      </c>
      <c r="B95" s="5">
        <f>Данные!I95-Данные!H95</f>
        <v>49600000</v>
      </c>
      <c r="C95" s="5">
        <f>Данные!J95-Данные!I95</f>
        <v>902400000</v>
      </c>
      <c r="D95" s="1">
        <f>Данные!C95</f>
        <v>45020</v>
      </c>
      <c r="E95">
        <v>705000000</v>
      </c>
      <c r="F95">
        <v>2900000000</v>
      </c>
      <c r="G95">
        <v>2320000000</v>
      </c>
      <c r="I95">
        <v>493000000</v>
      </c>
    </row>
    <row r="96" spans="1:9" x14ac:dyDescent="0.3">
      <c r="A96">
        <v>928000000</v>
      </c>
      <c r="B96" s="5">
        <f>Данные!I96-Данные!H96</f>
        <v>60000000</v>
      </c>
      <c r="C96" s="5">
        <f>Данные!J96-Данные!I96</f>
        <v>912000000</v>
      </c>
      <c r="D96" s="1">
        <f>Данные!C96</f>
        <v>45021</v>
      </c>
      <c r="E96">
        <v>712500000</v>
      </c>
      <c r="F96">
        <v>2900000000</v>
      </c>
      <c r="G96">
        <v>2320000000</v>
      </c>
      <c r="I96">
        <v>493000000</v>
      </c>
    </row>
    <row r="97" spans="1:9" x14ac:dyDescent="0.3">
      <c r="A97">
        <v>928000000</v>
      </c>
      <c r="B97" s="5">
        <f>Данные!I97-Данные!H97</f>
        <v>70400000</v>
      </c>
      <c r="C97" s="5">
        <f>Данные!J97-Данные!I97</f>
        <v>921600000</v>
      </c>
      <c r="D97" s="1">
        <f>Данные!C97</f>
        <v>45022</v>
      </c>
      <c r="E97">
        <v>720000000</v>
      </c>
      <c r="F97">
        <v>2900000000</v>
      </c>
      <c r="G97">
        <v>2320000000</v>
      </c>
      <c r="I97">
        <v>493000000</v>
      </c>
    </row>
    <row r="98" spans="1:9" x14ac:dyDescent="0.3">
      <c r="A98">
        <v>928000000</v>
      </c>
      <c r="B98" s="5">
        <f>Данные!I98-Данные!H98</f>
        <v>80800000</v>
      </c>
      <c r="C98" s="5">
        <f>Данные!J98-Данные!I98</f>
        <v>931200000</v>
      </c>
      <c r="D98" s="1">
        <f>Данные!C98</f>
        <v>45023</v>
      </c>
      <c r="E98">
        <v>727500000</v>
      </c>
      <c r="F98">
        <v>2900000000</v>
      </c>
      <c r="G98">
        <v>2320000000</v>
      </c>
      <c r="I98">
        <v>493000000</v>
      </c>
    </row>
    <row r="99" spans="1:9" x14ac:dyDescent="0.3">
      <c r="A99">
        <v>928000000</v>
      </c>
      <c r="B99" s="5">
        <f>Данные!I99-Данные!H99</f>
        <v>91200000</v>
      </c>
      <c r="C99" s="5">
        <f>Данные!J99-Данные!I99</f>
        <v>940800000</v>
      </c>
      <c r="D99" s="1">
        <f>Данные!C99</f>
        <v>45024</v>
      </c>
      <c r="E99">
        <v>735000000</v>
      </c>
      <c r="F99">
        <v>2900000000</v>
      </c>
      <c r="G99">
        <v>2320000000</v>
      </c>
      <c r="I99">
        <v>493000000</v>
      </c>
    </row>
    <row r="100" spans="1:9" x14ac:dyDescent="0.3">
      <c r="A100">
        <v>928000000</v>
      </c>
      <c r="B100" s="5">
        <f>Данные!I100-Данные!H100</f>
        <v>101600000</v>
      </c>
      <c r="C100" s="5">
        <f>Данные!J100-Данные!I100</f>
        <v>942400000</v>
      </c>
      <c r="D100" s="1">
        <f>Данные!C100</f>
        <v>45025</v>
      </c>
      <c r="E100">
        <v>742500000</v>
      </c>
      <c r="F100">
        <v>2900000000</v>
      </c>
      <c r="G100">
        <v>2320000000</v>
      </c>
      <c r="I100">
        <v>493000000</v>
      </c>
    </row>
    <row r="101" spans="1:9" x14ac:dyDescent="0.3">
      <c r="A101">
        <v>928000000</v>
      </c>
      <c r="B101" s="5">
        <f>Данные!I101-Данные!H101</f>
        <v>112000000</v>
      </c>
      <c r="C101" s="5">
        <f>Данные!J101-Данные!I101</f>
        <v>932000000</v>
      </c>
      <c r="D101" s="1">
        <f>Данные!C101</f>
        <v>45026</v>
      </c>
      <c r="E101">
        <v>750000000</v>
      </c>
      <c r="F101">
        <v>2900000000</v>
      </c>
      <c r="G101">
        <v>2320000000</v>
      </c>
      <c r="I101">
        <v>493000000</v>
      </c>
    </row>
    <row r="102" spans="1:9" x14ac:dyDescent="0.3">
      <c r="A102">
        <v>928000000</v>
      </c>
      <c r="B102" s="5">
        <f>Данные!I102-Данные!H102</f>
        <v>122400000</v>
      </c>
      <c r="C102" s="5">
        <f>Данные!J102-Данные!I102</f>
        <v>921600000</v>
      </c>
      <c r="D102" s="1">
        <f>Данные!C102</f>
        <v>45027</v>
      </c>
      <c r="E102">
        <v>757500000</v>
      </c>
      <c r="F102">
        <v>2900000000</v>
      </c>
      <c r="G102">
        <v>2320000000</v>
      </c>
      <c r="I102">
        <v>493000000</v>
      </c>
    </row>
    <row r="103" spans="1:9" x14ac:dyDescent="0.3">
      <c r="A103">
        <v>928000000</v>
      </c>
      <c r="B103" s="5">
        <f>Данные!I103-Данные!H103</f>
        <v>132800000</v>
      </c>
      <c r="C103" s="5">
        <f>Данные!J103-Данные!I103</f>
        <v>911200000</v>
      </c>
      <c r="D103" s="1">
        <f>Данные!C103</f>
        <v>45028</v>
      </c>
      <c r="E103">
        <v>765000000</v>
      </c>
      <c r="F103">
        <v>2900000000</v>
      </c>
      <c r="G103">
        <v>2320000000</v>
      </c>
      <c r="I103">
        <v>493000000</v>
      </c>
    </row>
    <row r="104" spans="1:9" x14ac:dyDescent="0.3">
      <c r="A104">
        <v>928000000</v>
      </c>
      <c r="B104" s="5">
        <f>Данные!I104-Данные!H104</f>
        <v>143200000</v>
      </c>
      <c r="C104" s="5">
        <f>Данные!J104-Данные!I104</f>
        <v>900800000</v>
      </c>
      <c r="D104" s="1">
        <f>Данные!C104</f>
        <v>45029</v>
      </c>
      <c r="E104">
        <v>772500000</v>
      </c>
      <c r="F104">
        <v>2900000000</v>
      </c>
      <c r="G104">
        <v>2320000000</v>
      </c>
      <c r="I104">
        <v>493000000</v>
      </c>
    </row>
    <row r="105" spans="1:9" x14ac:dyDescent="0.3">
      <c r="A105">
        <v>928000000</v>
      </c>
      <c r="B105" s="5">
        <f>Данные!I105-Данные!H105</f>
        <v>153600000</v>
      </c>
      <c r="C105" s="5">
        <f>Данные!J105-Данные!I105</f>
        <v>890400000</v>
      </c>
      <c r="D105" s="1">
        <f>Данные!C105</f>
        <v>45030</v>
      </c>
      <c r="E105">
        <v>780000000</v>
      </c>
      <c r="F105">
        <v>2900000000</v>
      </c>
      <c r="G105">
        <v>2320000000</v>
      </c>
      <c r="I105">
        <v>493000000</v>
      </c>
    </row>
    <row r="106" spans="1:9" x14ac:dyDescent="0.3">
      <c r="A106">
        <v>928000000</v>
      </c>
      <c r="B106" s="5">
        <f>Данные!I106-Данные!H106</f>
        <v>164000000</v>
      </c>
      <c r="C106" s="5">
        <f>Данные!J106-Данные!I106</f>
        <v>880000000</v>
      </c>
      <c r="D106" s="1">
        <f>Данные!C106</f>
        <v>45031</v>
      </c>
      <c r="E106">
        <v>787500000</v>
      </c>
      <c r="F106">
        <v>2900000000</v>
      </c>
      <c r="G106">
        <v>2320000000</v>
      </c>
      <c r="I106">
        <v>493000000</v>
      </c>
    </row>
    <row r="107" spans="1:9" x14ac:dyDescent="0.3">
      <c r="A107">
        <v>928000000</v>
      </c>
      <c r="B107" s="5">
        <f>Данные!I107-Данные!H107</f>
        <v>174400000</v>
      </c>
      <c r="C107" s="5">
        <f>Данные!J107-Данные!I107</f>
        <v>869600000</v>
      </c>
      <c r="D107" s="1">
        <f>Данные!C107</f>
        <v>45032</v>
      </c>
      <c r="E107">
        <v>795000000</v>
      </c>
      <c r="F107">
        <v>2900000000</v>
      </c>
      <c r="G107">
        <v>2320000000</v>
      </c>
      <c r="I107">
        <v>493000000</v>
      </c>
    </row>
    <row r="108" spans="1:9" x14ac:dyDescent="0.3">
      <c r="A108">
        <v>928000000</v>
      </c>
      <c r="B108" s="5">
        <f>Данные!I108-Данные!H108</f>
        <v>184800000</v>
      </c>
      <c r="C108" s="5">
        <f>Данные!J108-Данные!I108</f>
        <v>859200000</v>
      </c>
      <c r="D108" s="1">
        <f>Данные!C108</f>
        <v>45033</v>
      </c>
      <c r="E108">
        <v>802500000</v>
      </c>
      <c r="F108">
        <v>2900000000</v>
      </c>
      <c r="G108">
        <v>2320000000</v>
      </c>
      <c r="I108">
        <v>493000000</v>
      </c>
    </row>
    <row r="109" spans="1:9" x14ac:dyDescent="0.3">
      <c r="A109">
        <v>928000000</v>
      </c>
      <c r="B109" s="5">
        <f>Данные!I109-Данные!H109</f>
        <v>195200000</v>
      </c>
      <c r="C109" s="5">
        <f>Данные!J109-Данные!I109</f>
        <v>848800000</v>
      </c>
      <c r="D109" s="1">
        <f>Данные!C109</f>
        <v>45034</v>
      </c>
      <c r="E109">
        <v>810000000</v>
      </c>
      <c r="F109">
        <v>2900000000</v>
      </c>
      <c r="G109">
        <v>2320000000</v>
      </c>
      <c r="I109">
        <v>493000000</v>
      </c>
    </row>
    <row r="110" spans="1:9" x14ac:dyDescent="0.3">
      <c r="A110">
        <v>928000000</v>
      </c>
      <c r="B110" s="5">
        <f>Данные!I110-Данные!H110</f>
        <v>205600000</v>
      </c>
      <c r="C110" s="5">
        <f>Данные!J110-Данные!I110</f>
        <v>838400000</v>
      </c>
      <c r="D110" s="1">
        <f>Данные!C110</f>
        <v>45035</v>
      </c>
      <c r="E110">
        <v>817500000</v>
      </c>
      <c r="F110">
        <v>2900000000</v>
      </c>
      <c r="G110">
        <v>2320000000</v>
      </c>
      <c r="I110">
        <v>493000000</v>
      </c>
    </row>
    <row r="111" spans="1:9" x14ac:dyDescent="0.3">
      <c r="A111">
        <v>928000000</v>
      </c>
      <c r="B111" s="5">
        <f>Данные!I111-Данные!H111</f>
        <v>216000000</v>
      </c>
      <c r="C111" s="5">
        <f>Данные!J111-Данные!I111</f>
        <v>828000000</v>
      </c>
      <c r="D111" s="1">
        <f>Данные!C111</f>
        <v>45036</v>
      </c>
      <c r="E111">
        <v>825000000</v>
      </c>
      <c r="F111">
        <v>2900000000</v>
      </c>
      <c r="G111">
        <v>2320000000</v>
      </c>
      <c r="I111">
        <v>493000000</v>
      </c>
    </row>
    <row r="112" spans="1:9" x14ac:dyDescent="0.3">
      <c r="A112">
        <v>928000000</v>
      </c>
      <c r="B112" s="5">
        <f>Данные!I112-Данные!H112</f>
        <v>226400000</v>
      </c>
      <c r="C112" s="5">
        <f>Данные!J112-Данные!I112</f>
        <v>817600000</v>
      </c>
      <c r="D112" s="1">
        <f>Данные!C112</f>
        <v>45037</v>
      </c>
      <c r="E112">
        <v>832500000</v>
      </c>
      <c r="F112">
        <v>2900000000</v>
      </c>
      <c r="G112">
        <v>2320000000</v>
      </c>
      <c r="I112">
        <v>493000000</v>
      </c>
    </row>
    <row r="113" spans="1:9" x14ac:dyDescent="0.3">
      <c r="A113">
        <v>928000000</v>
      </c>
      <c r="B113" s="5">
        <f>Данные!I113-Данные!H113</f>
        <v>236800000</v>
      </c>
      <c r="C113" s="5">
        <f>Данные!J113-Данные!I113</f>
        <v>807200000</v>
      </c>
      <c r="D113" s="1">
        <f>Данные!C113</f>
        <v>45038</v>
      </c>
      <c r="E113">
        <v>840000000</v>
      </c>
      <c r="F113">
        <v>2900000000</v>
      </c>
      <c r="G113">
        <v>2320000000</v>
      </c>
      <c r="I113">
        <v>493000000</v>
      </c>
    </row>
    <row r="114" spans="1:9" x14ac:dyDescent="0.3">
      <c r="A114">
        <v>928000000</v>
      </c>
      <c r="B114" s="5">
        <f>Данные!I114-Данные!H114</f>
        <v>247200000</v>
      </c>
      <c r="C114" s="5">
        <f>Данные!J114-Данные!I114</f>
        <v>796800000</v>
      </c>
      <c r="D114" s="1">
        <f>Данные!C114</f>
        <v>45039</v>
      </c>
      <c r="E114">
        <v>847500000</v>
      </c>
      <c r="F114">
        <v>2900000000</v>
      </c>
      <c r="G114">
        <v>2320000000</v>
      </c>
      <c r="I114">
        <v>493000000</v>
      </c>
    </row>
    <row r="115" spans="1:9" x14ac:dyDescent="0.3">
      <c r="A115">
        <v>928000000</v>
      </c>
      <c r="B115" s="5">
        <f>Данные!I115-Данные!H115</f>
        <v>257600000</v>
      </c>
      <c r="C115" s="5">
        <f>Данные!J115-Данные!I115</f>
        <v>786400000</v>
      </c>
      <c r="D115" s="1">
        <f>Данные!C115</f>
        <v>45040</v>
      </c>
      <c r="E115">
        <v>855000000</v>
      </c>
      <c r="F115">
        <v>2900000000</v>
      </c>
      <c r="G115">
        <v>2320000000</v>
      </c>
      <c r="I115">
        <v>493000000</v>
      </c>
    </row>
    <row r="116" spans="1:9" x14ac:dyDescent="0.3">
      <c r="A116">
        <v>928000000</v>
      </c>
      <c r="B116" s="5">
        <f>Данные!I116-Данные!H116</f>
        <v>268000000</v>
      </c>
      <c r="C116" s="5">
        <f>Данные!J116-Данные!I116</f>
        <v>776000000</v>
      </c>
      <c r="D116" s="1">
        <f>Данные!C116</f>
        <v>45041</v>
      </c>
      <c r="E116">
        <v>862500000</v>
      </c>
      <c r="F116">
        <v>2900000000</v>
      </c>
      <c r="G116">
        <v>2320000000</v>
      </c>
      <c r="I116">
        <v>493000000</v>
      </c>
    </row>
    <row r="117" spans="1:9" x14ac:dyDescent="0.3">
      <c r="A117">
        <v>928000000</v>
      </c>
      <c r="B117" s="5">
        <f>Данные!I117-Данные!H117</f>
        <v>278400000</v>
      </c>
      <c r="C117" s="5">
        <f>Данные!J117-Данные!I117</f>
        <v>765600000</v>
      </c>
      <c r="D117" s="1">
        <f>Данные!C117</f>
        <v>45042</v>
      </c>
      <c r="E117">
        <v>870000000</v>
      </c>
      <c r="F117">
        <v>2900000000</v>
      </c>
      <c r="G117">
        <v>2320000000</v>
      </c>
      <c r="I117">
        <v>493000000</v>
      </c>
    </row>
    <row r="118" spans="1:9" x14ac:dyDescent="0.3">
      <c r="A118">
        <v>928000000</v>
      </c>
      <c r="B118" s="5">
        <f>Данные!I118-Данные!H118</f>
        <v>288800000</v>
      </c>
      <c r="C118" s="5">
        <f>Данные!J118-Данные!I118</f>
        <v>755200000</v>
      </c>
      <c r="D118" s="1">
        <f>Данные!C118</f>
        <v>45043</v>
      </c>
      <c r="E118">
        <v>877500000</v>
      </c>
      <c r="F118">
        <v>2900000000</v>
      </c>
      <c r="G118">
        <v>2320000000</v>
      </c>
      <c r="I118">
        <v>493000000</v>
      </c>
    </row>
    <row r="119" spans="1:9" x14ac:dyDescent="0.3">
      <c r="A119">
        <v>928000000</v>
      </c>
      <c r="B119" s="5">
        <f>Данные!I119-Данные!H119</f>
        <v>299200000</v>
      </c>
      <c r="C119" s="5">
        <f>Данные!J119-Данные!I119</f>
        <v>744800000</v>
      </c>
      <c r="D119" s="1">
        <f>Данные!C119</f>
        <v>45044</v>
      </c>
      <c r="E119">
        <v>885000000</v>
      </c>
      <c r="F119">
        <v>2900000000</v>
      </c>
      <c r="G119">
        <v>2320000000</v>
      </c>
      <c r="I119">
        <v>493000000</v>
      </c>
    </row>
    <row r="120" spans="1:9" x14ac:dyDescent="0.3">
      <c r="A120">
        <v>928000000</v>
      </c>
      <c r="B120" s="5">
        <f>Данные!I120-Данные!H120</f>
        <v>309600000</v>
      </c>
      <c r="C120" s="5">
        <f>Данные!J120-Данные!I120</f>
        <v>734400000</v>
      </c>
      <c r="D120" s="1">
        <f>Данные!C120</f>
        <v>45045</v>
      </c>
      <c r="E120">
        <v>892500000</v>
      </c>
      <c r="F120">
        <v>2900000000</v>
      </c>
      <c r="G120">
        <v>2320000000</v>
      </c>
      <c r="I120">
        <v>493000000</v>
      </c>
    </row>
    <row r="121" spans="1:9" x14ac:dyDescent="0.3">
      <c r="A121">
        <v>928000000</v>
      </c>
      <c r="B121" s="5">
        <f>Данные!I121-Данные!H121</f>
        <v>320000000</v>
      </c>
      <c r="C121" s="5">
        <f>Данные!J121-Данные!I121</f>
        <v>724000000</v>
      </c>
      <c r="D121" s="1">
        <f>Данные!C121</f>
        <v>45046</v>
      </c>
      <c r="E121">
        <v>900000000</v>
      </c>
      <c r="F121">
        <v>2900000000</v>
      </c>
      <c r="G121">
        <v>2320000000</v>
      </c>
      <c r="I121">
        <v>493000000</v>
      </c>
    </row>
    <row r="122" spans="1:9" x14ac:dyDescent="0.3">
      <c r="A122">
        <v>928000000</v>
      </c>
      <c r="B122" s="5">
        <f>Данные!I122-Данные!H122</f>
        <v>330400000</v>
      </c>
      <c r="C122" s="5">
        <f>Данные!J122-Данные!I122</f>
        <v>713600000</v>
      </c>
      <c r="D122" s="1">
        <f>Данные!C122</f>
        <v>45047</v>
      </c>
      <c r="E122">
        <v>907500000</v>
      </c>
      <c r="F122">
        <v>2900000000</v>
      </c>
      <c r="G122">
        <v>2320000000</v>
      </c>
      <c r="I122">
        <v>493000000</v>
      </c>
    </row>
    <row r="123" spans="1:9" x14ac:dyDescent="0.3">
      <c r="A123">
        <v>928000000</v>
      </c>
      <c r="B123" s="5">
        <f>Данные!I123-Данные!H123</f>
        <v>340800000</v>
      </c>
      <c r="C123" s="5">
        <f>Данные!J123-Данные!I123</f>
        <v>703200000</v>
      </c>
      <c r="D123" s="1">
        <f>Данные!C123</f>
        <v>45048</v>
      </c>
      <c r="E123">
        <v>915000000</v>
      </c>
      <c r="F123">
        <v>2900000000</v>
      </c>
      <c r="G123">
        <v>2320000000</v>
      </c>
      <c r="I123">
        <v>493000000</v>
      </c>
    </row>
    <row r="124" spans="1:9" x14ac:dyDescent="0.3">
      <c r="A124">
        <v>928000000</v>
      </c>
      <c r="B124" s="5">
        <f>Данные!I124-Данные!H124</f>
        <v>351200000</v>
      </c>
      <c r="C124" s="5">
        <f>Данные!J124-Данные!I124</f>
        <v>692800000</v>
      </c>
      <c r="D124" s="1">
        <f>Данные!C124</f>
        <v>45049</v>
      </c>
      <c r="E124">
        <v>922500000</v>
      </c>
      <c r="F124">
        <v>2900000000</v>
      </c>
      <c r="G124">
        <v>2320000000</v>
      </c>
      <c r="I124">
        <v>493000000</v>
      </c>
    </row>
    <row r="125" spans="1:9" x14ac:dyDescent="0.3">
      <c r="A125">
        <v>928000000</v>
      </c>
      <c r="B125" s="5">
        <f>Данные!I125-Данные!H125</f>
        <v>361600000</v>
      </c>
      <c r="C125" s="5">
        <f>Данные!J125-Данные!I125</f>
        <v>682400000</v>
      </c>
      <c r="D125" s="1">
        <f>Данные!C125</f>
        <v>45050</v>
      </c>
      <c r="E125">
        <v>930000000</v>
      </c>
      <c r="F125">
        <v>2900000000</v>
      </c>
      <c r="G125">
        <v>2320000000</v>
      </c>
      <c r="I125">
        <v>493000000</v>
      </c>
    </row>
    <row r="126" spans="1:9" x14ac:dyDescent="0.3">
      <c r="A126">
        <v>928000000</v>
      </c>
      <c r="B126" s="5">
        <f>Данные!I126-Данные!H126</f>
        <v>372000000</v>
      </c>
      <c r="C126" s="5">
        <f>Данные!J126-Данные!I126</f>
        <v>672000000</v>
      </c>
      <c r="D126" s="1">
        <f>Данные!C126</f>
        <v>45051</v>
      </c>
      <c r="E126">
        <v>937500000</v>
      </c>
      <c r="F126">
        <v>2900000000</v>
      </c>
      <c r="G126">
        <v>2320000000</v>
      </c>
      <c r="I126">
        <v>493000000</v>
      </c>
    </row>
    <row r="127" spans="1:9" x14ac:dyDescent="0.3">
      <c r="A127">
        <v>928000000</v>
      </c>
      <c r="B127" s="5">
        <f>Данные!I127-Данные!H127</f>
        <v>382400000</v>
      </c>
      <c r="C127" s="5">
        <f>Данные!J127-Данные!I127</f>
        <v>661600000</v>
      </c>
      <c r="D127" s="1">
        <f>Данные!C127</f>
        <v>45052</v>
      </c>
      <c r="E127">
        <v>945000000</v>
      </c>
      <c r="F127">
        <v>2900000000</v>
      </c>
      <c r="G127">
        <v>2320000000</v>
      </c>
      <c r="I127">
        <v>493000000</v>
      </c>
    </row>
    <row r="128" spans="1:9" x14ac:dyDescent="0.3">
      <c r="A128">
        <v>928000000</v>
      </c>
      <c r="B128" s="5">
        <f>Данные!I128-Данные!H128</f>
        <v>392800000</v>
      </c>
      <c r="C128" s="5">
        <f>Данные!J128-Данные!I128</f>
        <v>651200000</v>
      </c>
      <c r="D128" s="1">
        <f>Данные!C128</f>
        <v>45053</v>
      </c>
      <c r="E128">
        <v>952500000</v>
      </c>
      <c r="F128">
        <v>2900000000</v>
      </c>
      <c r="G128">
        <v>2320000000</v>
      </c>
      <c r="I128">
        <v>493000000</v>
      </c>
    </row>
    <row r="129" spans="1:9" x14ac:dyDescent="0.3">
      <c r="A129">
        <v>928000000</v>
      </c>
      <c r="B129" s="5">
        <f>Данные!I129-Данные!H129</f>
        <v>403200000</v>
      </c>
      <c r="C129" s="5">
        <f>Данные!J129-Данные!I129</f>
        <v>640800000</v>
      </c>
      <c r="D129" s="1">
        <f>Данные!C129</f>
        <v>45054</v>
      </c>
      <c r="E129">
        <v>960000000</v>
      </c>
      <c r="F129">
        <v>2900000000</v>
      </c>
      <c r="G129">
        <v>2320000000</v>
      </c>
      <c r="I129">
        <v>493000000</v>
      </c>
    </row>
    <row r="130" spans="1:9" x14ac:dyDescent="0.3">
      <c r="A130">
        <v>928000000</v>
      </c>
      <c r="B130" s="5">
        <f>Данные!I130-Данные!H130</f>
        <v>413600000</v>
      </c>
      <c r="C130" s="5">
        <f>Данные!J130-Данные!I130</f>
        <v>630400000</v>
      </c>
      <c r="D130" s="1">
        <f>Данные!C130</f>
        <v>45055</v>
      </c>
      <c r="E130">
        <v>967500000</v>
      </c>
      <c r="F130">
        <v>2900000000</v>
      </c>
      <c r="G130">
        <v>2320000000</v>
      </c>
      <c r="I130">
        <v>493000000</v>
      </c>
    </row>
    <row r="131" spans="1:9" x14ac:dyDescent="0.3">
      <c r="A131">
        <v>928000000</v>
      </c>
      <c r="B131" s="5">
        <f>Данные!I131-Данные!H131</f>
        <v>424000000</v>
      </c>
      <c r="C131" s="5">
        <f>Данные!J131-Данные!I131</f>
        <v>620000000</v>
      </c>
      <c r="D131" s="1">
        <f>Данные!C131</f>
        <v>45056</v>
      </c>
      <c r="E131">
        <v>975000000</v>
      </c>
      <c r="F131">
        <v>2900000000</v>
      </c>
      <c r="G131">
        <v>2320000000</v>
      </c>
      <c r="I131">
        <v>493000000</v>
      </c>
    </row>
    <row r="132" spans="1:9" x14ac:dyDescent="0.3">
      <c r="A132">
        <v>928000000</v>
      </c>
      <c r="B132" s="5">
        <f>Данные!I132-Данные!H132</f>
        <v>434400000</v>
      </c>
      <c r="C132" s="5">
        <f>Данные!J132-Данные!I132</f>
        <v>609600000</v>
      </c>
      <c r="D132" s="1">
        <f>Данные!C132</f>
        <v>45057</v>
      </c>
      <c r="E132">
        <v>982500000</v>
      </c>
      <c r="F132">
        <v>2900000000</v>
      </c>
      <c r="G132">
        <v>2320000000</v>
      </c>
      <c r="I132">
        <v>493000000</v>
      </c>
    </row>
    <row r="133" spans="1:9" x14ac:dyDescent="0.3">
      <c r="A133">
        <v>928000000</v>
      </c>
      <c r="B133" s="5">
        <f>Данные!I133-Данные!H133</f>
        <v>444800000</v>
      </c>
      <c r="C133" s="5">
        <f>Данные!J133-Данные!I133</f>
        <v>599200000</v>
      </c>
      <c r="D133" s="1">
        <f>Данные!C133</f>
        <v>45058</v>
      </c>
      <c r="E133">
        <v>990000000</v>
      </c>
      <c r="F133">
        <v>2900000000</v>
      </c>
      <c r="G133">
        <v>2320000000</v>
      </c>
      <c r="I133">
        <v>493000000</v>
      </c>
    </row>
    <row r="134" spans="1:9" x14ac:dyDescent="0.3">
      <c r="A134">
        <v>928000000</v>
      </c>
      <c r="B134" s="5">
        <f>Данные!I134-Данные!H134</f>
        <v>455200000</v>
      </c>
      <c r="C134" s="5">
        <f>Данные!J134-Данные!I134</f>
        <v>588800000</v>
      </c>
      <c r="D134" s="1">
        <f>Данные!C134</f>
        <v>45059</v>
      </c>
      <c r="E134">
        <v>997500000</v>
      </c>
      <c r="F134">
        <v>2900000000</v>
      </c>
      <c r="G134">
        <v>2320000000</v>
      </c>
      <c r="I134">
        <v>493000000</v>
      </c>
    </row>
    <row r="135" spans="1:9" x14ac:dyDescent="0.3">
      <c r="A135">
        <v>928000000</v>
      </c>
      <c r="B135" s="5">
        <f>Данные!I135-Данные!H135</f>
        <v>465600000</v>
      </c>
      <c r="C135" s="5">
        <f>Данные!J135-Данные!I135</f>
        <v>578400000</v>
      </c>
      <c r="D135" s="1">
        <f>Данные!C135</f>
        <v>45060</v>
      </c>
      <c r="E135">
        <v>1005000000</v>
      </c>
      <c r="F135">
        <v>2900000000</v>
      </c>
      <c r="G135">
        <v>2320000000</v>
      </c>
      <c r="I135">
        <v>493000000</v>
      </c>
    </row>
    <row r="136" spans="1:9" x14ac:dyDescent="0.3">
      <c r="A136">
        <v>928000000</v>
      </c>
      <c r="B136" s="5">
        <f>Данные!I136-Данные!H136</f>
        <v>476000000</v>
      </c>
      <c r="C136" s="5">
        <f>Данные!J136-Данные!I136</f>
        <v>568000000</v>
      </c>
      <c r="D136" s="1">
        <f>Данные!C136</f>
        <v>45061</v>
      </c>
      <c r="E136">
        <v>1012500000</v>
      </c>
      <c r="F136">
        <v>2900000000</v>
      </c>
      <c r="G136">
        <v>2320000000</v>
      </c>
      <c r="I136">
        <v>493000000</v>
      </c>
    </row>
    <row r="137" spans="1:9" x14ac:dyDescent="0.3">
      <c r="A137">
        <v>928000000</v>
      </c>
      <c r="B137" s="5">
        <f>Данные!I137-Данные!H137</f>
        <v>486400000</v>
      </c>
      <c r="C137" s="5">
        <f>Данные!J137-Данные!I137</f>
        <v>557600000</v>
      </c>
      <c r="D137" s="1">
        <f>Данные!C137</f>
        <v>45062</v>
      </c>
      <c r="E137">
        <v>1020000000</v>
      </c>
      <c r="F137">
        <v>2900000000</v>
      </c>
      <c r="G137">
        <v>2320000000</v>
      </c>
      <c r="I137">
        <v>493000000</v>
      </c>
    </row>
    <row r="138" spans="1:9" x14ac:dyDescent="0.3">
      <c r="A138">
        <v>928000000</v>
      </c>
      <c r="B138" s="5">
        <f>Данные!I138-Данные!H138</f>
        <v>496800000</v>
      </c>
      <c r="C138" s="5">
        <f>Данные!J138-Данные!I138</f>
        <v>547200000</v>
      </c>
      <c r="D138" s="1">
        <f>Данные!C138</f>
        <v>45063</v>
      </c>
      <c r="E138">
        <v>1027500000</v>
      </c>
      <c r="F138">
        <v>2900000000</v>
      </c>
      <c r="G138">
        <v>2320000000</v>
      </c>
      <c r="I138">
        <v>493000000</v>
      </c>
    </row>
    <row r="139" spans="1:9" x14ac:dyDescent="0.3">
      <c r="A139">
        <v>928000000</v>
      </c>
      <c r="B139" s="5">
        <f>Данные!I139-Данные!H139</f>
        <v>507200000</v>
      </c>
      <c r="C139" s="5">
        <f>Данные!J139-Данные!I139</f>
        <v>536800000</v>
      </c>
      <c r="D139" s="1">
        <f>Данные!C139</f>
        <v>45064</v>
      </c>
      <c r="E139">
        <v>1035000000</v>
      </c>
      <c r="F139">
        <v>2900000000</v>
      </c>
      <c r="G139">
        <v>2320000000</v>
      </c>
      <c r="I139">
        <v>493000000</v>
      </c>
    </row>
    <row r="140" spans="1:9" x14ac:dyDescent="0.3">
      <c r="A140">
        <v>928000000</v>
      </c>
      <c r="B140" s="5">
        <f>Данные!I140-Данные!H140</f>
        <v>511400000</v>
      </c>
      <c r="C140" s="5">
        <f>Данные!J140-Данные!I140</f>
        <v>532600000</v>
      </c>
      <c r="D140" s="1">
        <f>Данные!C140</f>
        <v>45065</v>
      </c>
      <c r="E140">
        <v>1042500000</v>
      </c>
      <c r="F140">
        <v>2900000000</v>
      </c>
      <c r="G140">
        <v>2320000000</v>
      </c>
      <c r="I140">
        <v>493000000</v>
      </c>
    </row>
    <row r="141" spans="1:9" x14ac:dyDescent="0.3">
      <c r="A141">
        <v>928000000</v>
      </c>
      <c r="B141" s="5">
        <f>Данные!I141-Данные!H141</f>
        <v>511400000</v>
      </c>
      <c r="C141" s="5">
        <f>Данные!J141-Данные!I141</f>
        <v>532600000</v>
      </c>
      <c r="D141" s="1">
        <f>Данные!C141</f>
        <v>45066</v>
      </c>
      <c r="E141">
        <v>1050000000</v>
      </c>
      <c r="F141">
        <v>2900000000</v>
      </c>
      <c r="G141">
        <v>2320000000</v>
      </c>
      <c r="I141">
        <v>493000000</v>
      </c>
    </row>
    <row r="142" spans="1:9" x14ac:dyDescent="0.3">
      <c r="A142">
        <v>928000000</v>
      </c>
      <c r="B142" s="5">
        <f>Данные!I142-Данные!H142</f>
        <v>511400000</v>
      </c>
      <c r="C142" s="5">
        <f>Данные!J142-Данные!I142</f>
        <v>532600000</v>
      </c>
      <c r="D142" s="1">
        <f>Данные!C142</f>
        <v>45067</v>
      </c>
      <c r="E142">
        <v>1057500000</v>
      </c>
      <c r="F142">
        <v>2900000000</v>
      </c>
      <c r="G142">
        <v>2320000000</v>
      </c>
      <c r="I142">
        <v>493000000</v>
      </c>
    </row>
    <row r="143" spans="1:9" x14ac:dyDescent="0.3">
      <c r="A143">
        <v>928000000</v>
      </c>
      <c r="B143" s="5">
        <f>Данные!I143-Данные!H143</f>
        <v>511400000</v>
      </c>
      <c r="C143" s="5">
        <f>Данные!J143-Данные!I143</f>
        <v>532600000</v>
      </c>
      <c r="D143" s="1">
        <f>Данные!C143</f>
        <v>45068</v>
      </c>
      <c r="E143">
        <v>1065000000</v>
      </c>
      <c r="F143">
        <v>2900000000</v>
      </c>
      <c r="G143">
        <v>2320000000</v>
      </c>
      <c r="I143">
        <v>493000000</v>
      </c>
    </row>
    <row r="144" spans="1:9" x14ac:dyDescent="0.3">
      <c r="A144">
        <v>928000000</v>
      </c>
      <c r="B144" s="5">
        <f>Данные!I144-Данные!H144</f>
        <v>511400000</v>
      </c>
      <c r="C144" s="5">
        <f>Данные!J144-Данные!I144</f>
        <v>532600000</v>
      </c>
      <c r="D144" s="1">
        <f>Данные!C144</f>
        <v>45069</v>
      </c>
      <c r="E144">
        <v>1072500000</v>
      </c>
      <c r="F144">
        <v>2900000000</v>
      </c>
      <c r="G144">
        <v>2320000000</v>
      </c>
      <c r="I144">
        <v>493000000</v>
      </c>
    </row>
    <row r="145" spans="1:9" x14ac:dyDescent="0.3">
      <c r="A145">
        <v>928000000</v>
      </c>
      <c r="B145" s="5">
        <f>Данные!I145-Данные!H145</f>
        <v>511400000</v>
      </c>
      <c r="C145" s="5">
        <f>Данные!J145-Данные!I145</f>
        <v>532600000</v>
      </c>
      <c r="D145" s="1">
        <f>Данные!C145</f>
        <v>45070</v>
      </c>
      <c r="E145">
        <v>1080000000</v>
      </c>
      <c r="F145">
        <v>2900000000</v>
      </c>
      <c r="G145">
        <v>2320000000</v>
      </c>
      <c r="I145">
        <v>493000000</v>
      </c>
    </row>
    <row r="146" spans="1:9" x14ac:dyDescent="0.3">
      <c r="A146">
        <v>928000000</v>
      </c>
      <c r="B146" s="5">
        <f>Данные!I146-Данные!H146</f>
        <v>511400000</v>
      </c>
      <c r="C146" s="5">
        <f>Данные!J146-Данные!I146</f>
        <v>532600000</v>
      </c>
      <c r="D146" s="1">
        <f>Данные!C146</f>
        <v>45071</v>
      </c>
      <c r="E146">
        <v>1087500000</v>
      </c>
      <c r="F146">
        <v>2900000000</v>
      </c>
      <c r="G146">
        <v>2320000000</v>
      </c>
      <c r="I146">
        <v>493000000</v>
      </c>
    </row>
    <row r="147" spans="1:9" x14ac:dyDescent="0.3">
      <c r="A147">
        <v>928000000</v>
      </c>
      <c r="B147" s="5">
        <f>Данные!I147-Данные!H147</f>
        <v>511400000</v>
      </c>
      <c r="C147" s="5">
        <f>Данные!J147-Данные!I147</f>
        <v>532600000</v>
      </c>
      <c r="D147" s="1">
        <f>Данные!C147</f>
        <v>45072</v>
      </c>
      <c r="E147">
        <v>1095000000</v>
      </c>
      <c r="F147">
        <v>2900000000</v>
      </c>
      <c r="G147">
        <v>2320000000</v>
      </c>
      <c r="I147">
        <v>493000000</v>
      </c>
    </row>
    <row r="148" spans="1:9" x14ac:dyDescent="0.3">
      <c r="A148">
        <v>928000000</v>
      </c>
      <c r="B148" s="5">
        <f>Данные!I148-Данные!H148</f>
        <v>511400000</v>
      </c>
      <c r="C148" s="5">
        <f>Данные!J148-Данные!I148</f>
        <v>532600000</v>
      </c>
      <c r="D148" s="1">
        <f>Данные!C148</f>
        <v>45073</v>
      </c>
      <c r="E148">
        <v>1102500000</v>
      </c>
      <c r="F148">
        <v>2900000000</v>
      </c>
      <c r="G148">
        <v>2320000000</v>
      </c>
      <c r="I148">
        <v>493000000</v>
      </c>
    </row>
    <row r="149" spans="1:9" x14ac:dyDescent="0.3">
      <c r="A149">
        <v>928000000</v>
      </c>
      <c r="B149" s="5">
        <f>Данные!I149-Данные!H149</f>
        <v>511400000</v>
      </c>
      <c r="C149" s="5">
        <f>Данные!J149-Данные!I149</f>
        <v>532600000</v>
      </c>
      <c r="D149" s="1">
        <f>Данные!C149</f>
        <v>45074</v>
      </c>
      <c r="E149">
        <v>1110000000</v>
      </c>
      <c r="F149">
        <v>2900000000</v>
      </c>
      <c r="G149">
        <v>2320000000</v>
      </c>
      <c r="I149">
        <v>493000000</v>
      </c>
    </row>
    <row r="150" spans="1:9" x14ac:dyDescent="0.3">
      <c r="A150">
        <v>928000000</v>
      </c>
      <c r="B150" s="5">
        <f>Данные!I150-Данные!H150</f>
        <v>511400000</v>
      </c>
      <c r="C150" s="5">
        <f>Данные!J150-Данные!I150</f>
        <v>532600000</v>
      </c>
      <c r="D150" s="1">
        <f>Данные!C150</f>
        <v>45075</v>
      </c>
      <c r="E150">
        <v>1117500000</v>
      </c>
      <c r="F150">
        <v>2900000000</v>
      </c>
      <c r="G150">
        <v>2320000000</v>
      </c>
      <c r="I150">
        <v>493000000</v>
      </c>
    </row>
    <row r="151" spans="1:9" x14ac:dyDescent="0.3">
      <c r="A151">
        <v>928000000</v>
      </c>
      <c r="B151" s="5">
        <f>Данные!I151-Данные!H151</f>
        <v>511400000</v>
      </c>
      <c r="C151" s="5">
        <f>Данные!J151-Данные!I151</f>
        <v>532600000</v>
      </c>
      <c r="D151" s="1">
        <f>Данные!C151</f>
        <v>45076</v>
      </c>
      <c r="E151">
        <v>1125000000</v>
      </c>
      <c r="F151">
        <v>2900000000</v>
      </c>
      <c r="G151">
        <v>2320000000</v>
      </c>
      <c r="I151">
        <v>493000000</v>
      </c>
    </row>
    <row r="152" spans="1:9" x14ac:dyDescent="0.3">
      <c r="A152">
        <v>928000000</v>
      </c>
      <c r="B152" s="5">
        <f>Данные!I152-Данные!H152</f>
        <v>511400000</v>
      </c>
      <c r="C152" s="5">
        <f>Данные!J152-Данные!I152</f>
        <v>532600000</v>
      </c>
      <c r="D152" s="1">
        <f>Данные!C152</f>
        <v>45077</v>
      </c>
      <c r="E152">
        <v>1132500000</v>
      </c>
      <c r="F152">
        <v>2900000000</v>
      </c>
      <c r="G152">
        <v>2320000000</v>
      </c>
      <c r="I152">
        <v>493000000</v>
      </c>
    </row>
    <row r="153" spans="1:9" x14ac:dyDescent="0.3">
      <c r="A153">
        <v>928000000</v>
      </c>
      <c r="B153" s="5">
        <f>Данные!I153-Данные!H153</f>
        <v>511400000</v>
      </c>
      <c r="C153" s="5">
        <f>Данные!J153-Данные!I153</f>
        <v>532600000</v>
      </c>
      <c r="D153" s="1">
        <f>Данные!C153</f>
        <v>45078</v>
      </c>
      <c r="E153">
        <v>1140000000</v>
      </c>
      <c r="F153">
        <v>2900000000</v>
      </c>
      <c r="G153">
        <v>2320000000</v>
      </c>
      <c r="I153">
        <v>493000000</v>
      </c>
    </row>
    <row r="154" spans="1:9" x14ac:dyDescent="0.3">
      <c r="A154">
        <v>928000000</v>
      </c>
      <c r="B154" s="5">
        <f>Данные!I154-Данные!H154</f>
        <v>511400000</v>
      </c>
      <c r="C154" s="5">
        <f>Данные!J154-Данные!I154</f>
        <v>532600000</v>
      </c>
      <c r="D154" s="1">
        <f>Данные!C154</f>
        <v>45079</v>
      </c>
      <c r="E154">
        <v>1147500000</v>
      </c>
      <c r="F154">
        <v>2900000000</v>
      </c>
      <c r="G154">
        <v>2320000000</v>
      </c>
      <c r="I154">
        <v>493000000</v>
      </c>
    </row>
    <row r="155" spans="1:9" x14ac:dyDescent="0.3">
      <c r="A155">
        <v>928000000</v>
      </c>
      <c r="B155" s="5">
        <f>Данные!I155-Данные!H155</f>
        <v>511400000</v>
      </c>
      <c r="C155" s="5">
        <f>Данные!J155-Данные!I155</f>
        <v>532600000</v>
      </c>
      <c r="D155" s="1">
        <f>Данные!C155</f>
        <v>45080</v>
      </c>
      <c r="E155">
        <v>1155000000</v>
      </c>
      <c r="F155">
        <v>2900000000</v>
      </c>
      <c r="G155">
        <v>2320000000</v>
      </c>
      <c r="I155">
        <v>493000000</v>
      </c>
    </row>
    <row r="156" spans="1:9" x14ac:dyDescent="0.3">
      <c r="A156">
        <v>928000000</v>
      </c>
      <c r="B156" s="5">
        <f>Данные!I156-Данные!H156</f>
        <v>511400000</v>
      </c>
      <c r="C156" s="5">
        <f>Данные!J156-Данные!I156</f>
        <v>532600000</v>
      </c>
      <c r="D156" s="1">
        <f>Данные!C156</f>
        <v>45081</v>
      </c>
      <c r="E156">
        <v>1162500000</v>
      </c>
      <c r="F156">
        <v>2900000000</v>
      </c>
      <c r="G156">
        <v>2320000000</v>
      </c>
      <c r="I156">
        <v>493000000</v>
      </c>
    </row>
    <row r="157" spans="1:9" x14ac:dyDescent="0.3">
      <c r="A157">
        <v>928000000</v>
      </c>
      <c r="B157" s="5">
        <f>Данные!I157-Данные!H157</f>
        <v>511400000</v>
      </c>
      <c r="C157" s="5">
        <f>Данные!J157-Данные!I157</f>
        <v>532600000</v>
      </c>
      <c r="D157" s="1">
        <f>Данные!C157</f>
        <v>45082</v>
      </c>
      <c r="E157">
        <v>1170000000</v>
      </c>
      <c r="F157">
        <v>2900000000</v>
      </c>
      <c r="G157">
        <v>2320000000</v>
      </c>
      <c r="I157">
        <v>493000000</v>
      </c>
    </row>
    <row r="158" spans="1:9" x14ac:dyDescent="0.3">
      <c r="A158">
        <v>928000000</v>
      </c>
      <c r="B158" s="5">
        <f>Данные!I158-Данные!H158</f>
        <v>511400000</v>
      </c>
      <c r="C158" s="5">
        <f>Данные!J158-Данные!I158</f>
        <v>532600000</v>
      </c>
      <c r="D158" s="1">
        <f>Данные!C158</f>
        <v>45083</v>
      </c>
      <c r="E158">
        <v>1177500000</v>
      </c>
      <c r="F158">
        <v>2900000000</v>
      </c>
      <c r="G158">
        <v>2320000000</v>
      </c>
      <c r="I158">
        <v>493000000</v>
      </c>
    </row>
    <row r="159" spans="1:9" x14ac:dyDescent="0.3">
      <c r="A159">
        <v>928000000</v>
      </c>
      <c r="B159" s="5">
        <f>Данные!I159-Данные!H159</f>
        <v>511400000</v>
      </c>
      <c r="C159" s="5">
        <f>Данные!J159-Данные!I159</f>
        <v>532600000</v>
      </c>
      <c r="D159" s="1">
        <f>Данные!C159</f>
        <v>45084</v>
      </c>
      <c r="E159">
        <v>1185000000</v>
      </c>
      <c r="F159">
        <v>2900000000</v>
      </c>
      <c r="G159">
        <v>2320000000</v>
      </c>
      <c r="I159">
        <v>493000000</v>
      </c>
    </row>
    <row r="160" spans="1:9" x14ac:dyDescent="0.3">
      <c r="A160">
        <v>928000000</v>
      </c>
      <c r="B160" s="5">
        <f>Данные!I160-Данные!H160</f>
        <v>511400000</v>
      </c>
      <c r="C160" s="5">
        <f>Данные!J160-Данные!I160</f>
        <v>532600000</v>
      </c>
      <c r="D160" s="1">
        <f>Данные!C160</f>
        <v>45085</v>
      </c>
      <c r="E160">
        <v>1192500000</v>
      </c>
      <c r="F160">
        <v>2900000000</v>
      </c>
      <c r="G160">
        <v>2320000000</v>
      </c>
      <c r="I160">
        <v>493000000</v>
      </c>
    </row>
    <row r="161" spans="1:9" x14ac:dyDescent="0.3">
      <c r="A161">
        <v>928000000</v>
      </c>
      <c r="B161" s="5">
        <f>Данные!I161-Данные!H161</f>
        <v>511400000</v>
      </c>
      <c r="C161" s="5">
        <f>Данные!J161-Данные!I161</f>
        <v>532600000</v>
      </c>
      <c r="D161" s="1">
        <f>Данные!C161</f>
        <v>45086</v>
      </c>
      <c r="E161">
        <v>1200000000</v>
      </c>
      <c r="F161">
        <v>2900000000</v>
      </c>
      <c r="G161">
        <v>2320000000</v>
      </c>
      <c r="I161">
        <v>493000000</v>
      </c>
    </row>
    <row r="162" spans="1:9" x14ac:dyDescent="0.3">
      <c r="A162">
        <v>928000000</v>
      </c>
      <c r="B162" s="5">
        <f>Данные!I162-Данные!H162</f>
        <v>511400000</v>
      </c>
      <c r="C162" s="5">
        <f>Данные!J162-Данные!I162</f>
        <v>532600000</v>
      </c>
      <c r="D162" s="1">
        <f>Данные!C162</f>
        <v>45087</v>
      </c>
      <c r="E162">
        <v>1207500000</v>
      </c>
      <c r="F162">
        <v>2900000000</v>
      </c>
      <c r="G162">
        <v>2320000000</v>
      </c>
      <c r="I162">
        <v>493000000</v>
      </c>
    </row>
    <row r="163" spans="1:9" x14ac:dyDescent="0.3">
      <c r="A163">
        <v>928000000</v>
      </c>
      <c r="B163" s="5">
        <f>Данные!I163-Данные!H163</f>
        <v>511400000</v>
      </c>
      <c r="C163" s="5">
        <f>Данные!J163-Данные!I163</f>
        <v>532600000</v>
      </c>
      <c r="D163" s="1">
        <f>Данные!C163</f>
        <v>45088</v>
      </c>
      <c r="E163">
        <v>1215000000</v>
      </c>
      <c r="F163">
        <v>2900000000</v>
      </c>
      <c r="G163">
        <v>2320000000</v>
      </c>
      <c r="I163">
        <v>493000000</v>
      </c>
    </row>
    <row r="164" spans="1:9" x14ac:dyDescent="0.3">
      <c r="A164">
        <v>928000000</v>
      </c>
      <c r="B164" s="5">
        <f>Данные!I164-Данные!H164</f>
        <v>511400000</v>
      </c>
      <c r="C164" s="5">
        <f>Данные!J164-Данные!I164</f>
        <v>532600000</v>
      </c>
      <c r="D164" s="1">
        <f>Данные!C164</f>
        <v>45089</v>
      </c>
      <c r="E164">
        <v>1222500000</v>
      </c>
      <c r="F164">
        <v>2900000000</v>
      </c>
      <c r="G164">
        <v>2320000000</v>
      </c>
      <c r="I164">
        <v>493000000</v>
      </c>
    </row>
    <row r="165" spans="1:9" x14ac:dyDescent="0.3">
      <c r="A165">
        <v>928000000</v>
      </c>
      <c r="B165" s="5">
        <f>Данные!I165-Данные!H165</f>
        <v>511400000</v>
      </c>
      <c r="C165" s="5">
        <f>Данные!J165-Данные!I165</f>
        <v>532600000</v>
      </c>
      <c r="D165" s="1">
        <f>Данные!C165</f>
        <v>45090</v>
      </c>
      <c r="E165">
        <v>1230000000</v>
      </c>
      <c r="F165">
        <v>2900000000</v>
      </c>
      <c r="G165">
        <v>2320000000</v>
      </c>
      <c r="I165">
        <v>493000000</v>
      </c>
    </row>
    <row r="166" spans="1:9" x14ac:dyDescent="0.3">
      <c r="A166">
        <v>928000000</v>
      </c>
      <c r="B166" s="5">
        <f>Данные!I166-Данные!H166</f>
        <v>511400000</v>
      </c>
      <c r="C166" s="5">
        <f>Данные!J166-Данные!I166</f>
        <v>532600000</v>
      </c>
      <c r="D166" s="1">
        <f>Данные!C166</f>
        <v>45091</v>
      </c>
      <c r="E166">
        <v>1237500000</v>
      </c>
      <c r="F166">
        <v>2900000000</v>
      </c>
      <c r="G166">
        <v>2320000000</v>
      </c>
      <c r="I166">
        <v>493000000</v>
      </c>
    </row>
    <row r="167" spans="1:9" x14ac:dyDescent="0.3">
      <c r="A167">
        <v>928000000</v>
      </c>
      <c r="B167" s="5">
        <f>Данные!I167-Данные!H167</f>
        <v>511400000</v>
      </c>
      <c r="C167" s="5">
        <f>Данные!J167-Данные!I167</f>
        <v>532600000</v>
      </c>
      <c r="D167" s="1">
        <f>Данные!C167</f>
        <v>45092</v>
      </c>
      <c r="E167">
        <v>1245000000</v>
      </c>
      <c r="F167">
        <v>2900000000</v>
      </c>
      <c r="G167">
        <v>2320000000</v>
      </c>
      <c r="I167">
        <v>493000000</v>
      </c>
    </row>
    <row r="168" spans="1:9" x14ac:dyDescent="0.3">
      <c r="A168">
        <v>928000000</v>
      </c>
      <c r="B168" s="5">
        <f>Данные!I168-Данные!H168</f>
        <v>511400000</v>
      </c>
      <c r="C168" s="5">
        <f>Данные!J168-Данные!I168</f>
        <v>532600000</v>
      </c>
      <c r="D168" s="1">
        <f>Данные!C168</f>
        <v>45093</v>
      </c>
      <c r="E168">
        <v>1252500000</v>
      </c>
      <c r="F168">
        <v>2900000000</v>
      </c>
      <c r="G168">
        <v>2320000000</v>
      </c>
      <c r="I168">
        <v>493000000</v>
      </c>
    </row>
    <row r="169" spans="1:9" x14ac:dyDescent="0.3">
      <c r="A169">
        <v>928000000</v>
      </c>
      <c r="B169" s="5">
        <f>Данные!I169-Данные!H169</f>
        <v>511400000</v>
      </c>
      <c r="C169" s="5">
        <f>Данные!J169-Данные!I169</f>
        <v>532600000</v>
      </c>
      <c r="D169" s="1">
        <f>Данные!C169</f>
        <v>45094</v>
      </c>
      <c r="E169">
        <v>1260000000</v>
      </c>
      <c r="F169">
        <v>2900000000</v>
      </c>
      <c r="G169">
        <v>2320000000</v>
      </c>
      <c r="I169">
        <v>493000000</v>
      </c>
    </row>
    <row r="170" spans="1:9" x14ac:dyDescent="0.3">
      <c r="A170">
        <v>928000000</v>
      </c>
      <c r="B170" s="5">
        <f>Данные!I170-Данные!H170</f>
        <v>511400000</v>
      </c>
      <c r="C170" s="5">
        <f>Данные!J170-Данные!I170</f>
        <v>532600000</v>
      </c>
      <c r="D170" s="1">
        <f>Данные!C170</f>
        <v>45095</v>
      </c>
      <c r="E170">
        <v>1267500000</v>
      </c>
      <c r="F170">
        <v>2900000000</v>
      </c>
      <c r="G170">
        <v>2320000000</v>
      </c>
      <c r="I170">
        <v>493000000</v>
      </c>
    </row>
    <row r="171" spans="1:9" x14ac:dyDescent="0.3">
      <c r="A171">
        <v>928000000</v>
      </c>
      <c r="B171" s="5">
        <f>Данные!I171-Данные!H171</f>
        <v>511400000</v>
      </c>
      <c r="C171" s="5">
        <f>Данные!J171-Данные!I171</f>
        <v>532600000</v>
      </c>
      <c r="D171" s="1">
        <f>Данные!C171</f>
        <v>45096</v>
      </c>
      <c r="E171">
        <v>1275000000</v>
      </c>
      <c r="F171">
        <v>2900000000</v>
      </c>
      <c r="G171">
        <v>2320000000</v>
      </c>
      <c r="I171">
        <v>493000000</v>
      </c>
    </row>
    <row r="172" spans="1:9" x14ac:dyDescent="0.3">
      <c r="A172">
        <v>928000000</v>
      </c>
      <c r="B172" s="5">
        <f>Данные!I172-Данные!H172</f>
        <v>511400000</v>
      </c>
      <c r="C172" s="5">
        <f>Данные!J172-Данные!I172</f>
        <v>532600000</v>
      </c>
      <c r="D172" s="1">
        <f>Данные!C172</f>
        <v>45097</v>
      </c>
      <c r="E172">
        <v>1282500000</v>
      </c>
      <c r="F172">
        <v>2900000000</v>
      </c>
      <c r="G172">
        <v>2320000000</v>
      </c>
      <c r="I172">
        <v>493000000</v>
      </c>
    </row>
    <row r="173" spans="1:9" x14ac:dyDescent="0.3">
      <c r="A173">
        <v>928000000</v>
      </c>
      <c r="B173" s="5">
        <f>Данные!I173-Данные!H173</f>
        <v>511400000</v>
      </c>
      <c r="C173" s="5">
        <f>Данные!J173-Данные!I173</f>
        <v>532600000</v>
      </c>
      <c r="D173" s="1">
        <f>Данные!C173</f>
        <v>45098</v>
      </c>
      <c r="E173">
        <v>1290000000</v>
      </c>
      <c r="F173">
        <v>2900000000</v>
      </c>
      <c r="G173">
        <v>2320000000</v>
      </c>
      <c r="I173">
        <v>493000000</v>
      </c>
    </row>
    <row r="174" spans="1:9" x14ac:dyDescent="0.3">
      <c r="A174">
        <v>928000000</v>
      </c>
      <c r="B174" s="5">
        <f>Данные!I174-Данные!H174</f>
        <v>511400000</v>
      </c>
      <c r="C174" s="5">
        <f>Данные!J174-Данные!I174</f>
        <v>532600000</v>
      </c>
      <c r="D174" s="1">
        <f>Данные!C174</f>
        <v>45099</v>
      </c>
      <c r="E174">
        <v>1297500000</v>
      </c>
      <c r="F174">
        <v>2900000000</v>
      </c>
      <c r="G174">
        <v>2320000000</v>
      </c>
      <c r="I174">
        <v>493000000</v>
      </c>
    </row>
    <row r="175" spans="1:9" x14ac:dyDescent="0.3">
      <c r="A175">
        <v>928000000</v>
      </c>
      <c r="B175" s="5">
        <f>Данные!I175-Данные!H175</f>
        <v>511400000</v>
      </c>
      <c r="C175" s="5">
        <f>Данные!J175-Данные!I175</f>
        <v>532600000</v>
      </c>
      <c r="D175" s="1">
        <f>Данные!C175</f>
        <v>45100</v>
      </c>
      <c r="E175">
        <v>1305000000</v>
      </c>
      <c r="F175">
        <v>2900000000</v>
      </c>
      <c r="G175">
        <v>2320000000</v>
      </c>
      <c r="I175">
        <v>493000000</v>
      </c>
    </row>
    <row r="176" spans="1:9" x14ac:dyDescent="0.3">
      <c r="A176">
        <v>928000000</v>
      </c>
      <c r="B176" s="5">
        <f>Данные!I176-Данные!H176</f>
        <v>511400000</v>
      </c>
      <c r="C176" s="5">
        <f>Данные!J176-Данные!I176</f>
        <v>532600000</v>
      </c>
      <c r="D176" s="1">
        <f>Данные!C176</f>
        <v>45101</v>
      </c>
      <c r="E176">
        <v>1312500000</v>
      </c>
      <c r="F176">
        <v>2900000000</v>
      </c>
      <c r="G176">
        <v>2320000000</v>
      </c>
      <c r="I176">
        <v>493000000</v>
      </c>
    </row>
    <row r="177" spans="1:9" x14ac:dyDescent="0.3">
      <c r="A177">
        <v>928000000</v>
      </c>
      <c r="B177" s="5">
        <f>Данные!I177-Данные!H177</f>
        <v>511400000</v>
      </c>
      <c r="C177" s="5">
        <f>Данные!J177-Данные!I177</f>
        <v>532600000</v>
      </c>
      <c r="D177" s="1">
        <f>Данные!C177</f>
        <v>45102</v>
      </c>
      <c r="E177">
        <v>1320000000</v>
      </c>
      <c r="F177">
        <v>2900000000</v>
      </c>
      <c r="G177">
        <v>2320000000</v>
      </c>
      <c r="I177">
        <v>493000000</v>
      </c>
    </row>
    <row r="178" spans="1:9" x14ac:dyDescent="0.3">
      <c r="A178">
        <v>928000000</v>
      </c>
      <c r="B178" s="5">
        <f>Данные!I178-Данные!H178</f>
        <v>511400000</v>
      </c>
      <c r="C178" s="5">
        <f>Данные!J178-Данные!I178</f>
        <v>532600000</v>
      </c>
      <c r="D178" s="1">
        <f>Данные!C178</f>
        <v>45103</v>
      </c>
      <c r="F178">
        <v>2900000000</v>
      </c>
      <c r="G178">
        <v>2320000000</v>
      </c>
      <c r="I178">
        <v>493000000</v>
      </c>
    </row>
    <row r="179" spans="1:9" x14ac:dyDescent="0.3">
      <c r="A179">
        <v>928000000</v>
      </c>
      <c r="B179" s="5">
        <f>Данные!I179-Данные!H179</f>
        <v>511400000</v>
      </c>
      <c r="C179" s="5">
        <f>Данные!J179-Данные!I179</f>
        <v>532600000</v>
      </c>
      <c r="D179" s="1">
        <f>Данные!C179</f>
        <v>45104</v>
      </c>
      <c r="F179">
        <v>2900000000</v>
      </c>
      <c r="G179">
        <v>2320000000</v>
      </c>
      <c r="I179">
        <v>493000000</v>
      </c>
    </row>
    <row r="180" spans="1:9" x14ac:dyDescent="0.3">
      <c r="A180">
        <v>928000000</v>
      </c>
      <c r="B180" s="5">
        <f>Данные!I180-Данные!H180</f>
        <v>511400000</v>
      </c>
      <c r="C180" s="5">
        <f>Данные!J180-Данные!I180</f>
        <v>532600000</v>
      </c>
      <c r="D180" s="1">
        <f>Данные!C180</f>
        <v>45105</v>
      </c>
      <c r="F180">
        <v>2900000000</v>
      </c>
      <c r="G180">
        <v>2320000000</v>
      </c>
      <c r="I180">
        <v>493000000</v>
      </c>
    </row>
    <row r="181" spans="1:9" x14ac:dyDescent="0.3">
      <c r="A181">
        <v>928000000</v>
      </c>
      <c r="B181" s="5">
        <f>Данные!I181-Данные!H181</f>
        <v>511400000</v>
      </c>
      <c r="C181" s="5">
        <f>Данные!J181-Данные!I181</f>
        <v>532600000</v>
      </c>
      <c r="D181" s="1">
        <f>Данные!C181</f>
        <v>45106</v>
      </c>
      <c r="F181">
        <v>2900000000</v>
      </c>
      <c r="G181">
        <v>2320000000</v>
      </c>
      <c r="I181">
        <v>493000000</v>
      </c>
    </row>
    <row r="182" spans="1:9" x14ac:dyDescent="0.3">
      <c r="A182">
        <v>928000000</v>
      </c>
      <c r="B182" s="5">
        <f>Данные!I182-Данные!H182</f>
        <v>511400000</v>
      </c>
      <c r="C182" s="5">
        <f>Данные!J182-Данные!I182</f>
        <v>532600000</v>
      </c>
      <c r="D182" s="1">
        <f>Данные!C182</f>
        <v>45107</v>
      </c>
      <c r="F182">
        <v>2900000000</v>
      </c>
      <c r="G182">
        <v>2320000000</v>
      </c>
      <c r="I182">
        <v>493000000</v>
      </c>
    </row>
    <row r="183" spans="1:9" x14ac:dyDescent="0.3">
      <c r="A183">
        <v>928000000</v>
      </c>
      <c r="B183" s="5">
        <f>Данные!I183-Данные!H183</f>
        <v>521800000</v>
      </c>
      <c r="C183" s="5">
        <f>Данные!J183-Данные!I183</f>
        <v>522200000</v>
      </c>
      <c r="D183" s="1">
        <f>Данные!C183</f>
        <v>45108</v>
      </c>
      <c r="F183">
        <v>2900000000</v>
      </c>
      <c r="G183">
        <v>2320000000</v>
      </c>
    </row>
    <row r="184" spans="1:9" x14ac:dyDescent="0.3">
      <c r="A184">
        <v>928000000</v>
      </c>
      <c r="B184" s="5">
        <f>Данные!I184-Данные!H184</f>
        <v>532200000</v>
      </c>
      <c r="C184" s="5">
        <f>Данные!J184-Данные!I184</f>
        <v>511800000</v>
      </c>
      <c r="D184" s="1">
        <f>Данные!C184</f>
        <v>45109</v>
      </c>
      <c r="F184">
        <v>2900000000</v>
      </c>
      <c r="G184">
        <v>2320000000</v>
      </c>
    </row>
    <row r="185" spans="1:9" x14ac:dyDescent="0.3">
      <c r="A185">
        <v>928000000</v>
      </c>
      <c r="B185" s="5">
        <f>Данные!I185-Данные!H185</f>
        <v>542600000</v>
      </c>
      <c r="C185" s="5">
        <f>Данные!J185-Данные!I185</f>
        <v>501400000</v>
      </c>
      <c r="D185" s="1">
        <f>Данные!C185</f>
        <v>45110</v>
      </c>
      <c r="F185">
        <v>2900000000</v>
      </c>
      <c r="G185">
        <v>2320000000</v>
      </c>
    </row>
    <row r="186" spans="1:9" x14ac:dyDescent="0.3">
      <c r="A186">
        <v>928000000</v>
      </c>
      <c r="B186" s="5">
        <f>Данные!I186-Данные!H186</f>
        <v>553000000</v>
      </c>
      <c r="C186" s="5">
        <f>Данные!J186-Данные!I186</f>
        <v>491000000</v>
      </c>
      <c r="D186" s="1">
        <f>Данные!C186</f>
        <v>45111</v>
      </c>
      <c r="F186">
        <v>2900000000</v>
      </c>
      <c r="G186">
        <v>2320000000</v>
      </c>
    </row>
    <row r="187" spans="1:9" x14ac:dyDescent="0.3">
      <c r="A187">
        <v>928000000</v>
      </c>
      <c r="B187" s="5">
        <f>Данные!I187-Данные!H187</f>
        <v>563400000</v>
      </c>
      <c r="C187" s="5">
        <f>Данные!J187-Данные!I187</f>
        <v>480600000</v>
      </c>
      <c r="D187" s="1">
        <f>Данные!C187</f>
        <v>45112</v>
      </c>
      <c r="F187">
        <v>2900000000</v>
      </c>
      <c r="G187">
        <v>2320000000</v>
      </c>
    </row>
    <row r="188" spans="1:9" x14ac:dyDescent="0.3">
      <c r="A188">
        <v>928000000</v>
      </c>
      <c r="B188" s="5">
        <f>Данные!I188-Данные!H188</f>
        <v>573800000</v>
      </c>
      <c r="C188" s="5">
        <f>Данные!J188-Данные!I188</f>
        <v>470200000</v>
      </c>
      <c r="D188" s="1">
        <f>Данные!C188</f>
        <v>45113</v>
      </c>
      <c r="F188">
        <v>2900000000</v>
      </c>
      <c r="G188">
        <v>2320000000</v>
      </c>
    </row>
    <row r="189" spans="1:9" x14ac:dyDescent="0.3">
      <c r="A189">
        <v>928000000</v>
      </c>
      <c r="B189" s="5">
        <f>Данные!I189-Данные!H189</f>
        <v>584200000</v>
      </c>
      <c r="C189" s="5">
        <f>Данные!J189-Данные!I189</f>
        <v>459800000</v>
      </c>
      <c r="D189" s="1">
        <f>Данные!C189</f>
        <v>45114</v>
      </c>
      <c r="F189">
        <v>2900000000</v>
      </c>
      <c r="G189">
        <v>2320000000</v>
      </c>
    </row>
    <row r="190" spans="1:9" x14ac:dyDescent="0.3">
      <c r="A190">
        <v>928000000</v>
      </c>
      <c r="B190" s="5">
        <f>Данные!I190-Данные!H190</f>
        <v>594600000</v>
      </c>
      <c r="C190" s="5">
        <f>Данные!J190-Данные!I190</f>
        <v>449400000</v>
      </c>
      <c r="D190" s="1">
        <f>Данные!C190</f>
        <v>45115</v>
      </c>
      <c r="F190">
        <v>2900000000</v>
      </c>
      <c r="G190">
        <v>2320000000</v>
      </c>
    </row>
    <row r="191" spans="1:9" x14ac:dyDescent="0.3">
      <c r="A191">
        <v>928000000</v>
      </c>
      <c r="B191" s="5">
        <f>Данные!I191-Данные!H191</f>
        <v>605000000</v>
      </c>
      <c r="C191" s="5">
        <f>Данные!J191-Данные!I191</f>
        <v>439000000</v>
      </c>
      <c r="D191" s="1">
        <f>Данные!C191</f>
        <v>45116</v>
      </c>
      <c r="F191">
        <v>2900000000</v>
      </c>
      <c r="G191">
        <v>2320000000</v>
      </c>
    </row>
    <row r="192" spans="1:9" x14ac:dyDescent="0.3">
      <c r="A192">
        <v>928000000</v>
      </c>
      <c r="B192" s="5">
        <f>Данные!I192-Данные!H192</f>
        <v>615400000</v>
      </c>
      <c r="C192" s="5">
        <f>Данные!J192-Данные!I192</f>
        <v>428600000</v>
      </c>
      <c r="D192" s="1">
        <f>Данные!C192</f>
        <v>45117</v>
      </c>
      <c r="F192">
        <v>2900000000</v>
      </c>
      <c r="G192">
        <v>2320000000</v>
      </c>
    </row>
    <row r="193" spans="1:7" x14ac:dyDescent="0.3">
      <c r="A193">
        <v>928000000</v>
      </c>
      <c r="B193" s="5">
        <f>Данные!I193-Данные!H193</f>
        <v>625800000</v>
      </c>
      <c r="C193" s="5">
        <f>Данные!J193-Данные!I193</f>
        <v>418200000</v>
      </c>
      <c r="D193" s="1">
        <f>Данные!C193</f>
        <v>45118</v>
      </c>
      <c r="F193">
        <v>2900000000</v>
      </c>
      <c r="G193">
        <v>2320000000</v>
      </c>
    </row>
    <row r="194" spans="1:7" x14ac:dyDescent="0.3">
      <c r="A194">
        <v>928000000</v>
      </c>
      <c r="B194" s="5">
        <f>Данные!I194-Данные!H194</f>
        <v>636200000</v>
      </c>
      <c r="C194" s="5">
        <f>Данные!J194-Данные!I194</f>
        <v>407800000</v>
      </c>
      <c r="D194" s="1">
        <f>Данные!C194</f>
        <v>45119</v>
      </c>
      <c r="F194">
        <v>2900000000</v>
      </c>
      <c r="G194">
        <v>2320000000</v>
      </c>
    </row>
    <row r="195" spans="1:7" x14ac:dyDescent="0.3">
      <c r="A195">
        <v>928000000</v>
      </c>
      <c r="B195" s="5">
        <f>Данные!I195-Данные!H195</f>
        <v>646600000</v>
      </c>
      <c r="C195" s="5">
        <f>Данные!J195-Данные!I195</f>
        <v>397400000</v>
      </c>
      <c r="D195" s="1">
        <f>Данные!C195</f>
        <v>45120</v>
      </c>
      <c r="F195">
        <v>2900000000</v>
      </c>
      <c r="G195">
        <v>2320000000</v>
      </c>
    </row>
    <row r="196" spans="1:7" x14ac:dyDescent="0.3">
      <c r="A196">
        <v>928000000</v>
      </c>
      <c r="B196" s="5">
        <f>Данные!I196-Данные!H196</f>
        <v>657000000</v>
      </c>
      <c r="C196" s="5">
        <f>Данные!J196-Данные!I196</f>
        <v>387000000</v>
      </c>
      <c r="D196" s="1">
        <f>Данные!C196</f>
        <v>45121</v>
      </c>
      <c r="F196">
        <v>2900000000</v>
      </c>
      <c r="G196">
        <v>2320000000</v>
      </c>
    </row>
    <row r="197" spans="1:7" x14ac:dyDescent="0.3">
      <c r="A197">
        <v>928000000</v>
      </c>
      <c r="B197" s="5">
        <f>Данные!I197-Данные!H197</f>
        <v>667400000</v>
      </c>
      <c r="C197" s="5">
        <f>Данные!J197-Данные!I197</f>
        <v>376600000</v>
      </c>
      <c r="D197" s="1">
        <f>Данные!C197</f>
        <v>45122</v>
      </c>
      <c r="F197">
        <v>2900000000</v>
      </c>
      <c r="G197">
        <v>2320000000</v>
      </c>
    </row>
    <row r="198" spans="1:7" x14ac:dyDescent="0.3">
      <c r="A198">
        <v>928000000</v>
      </c>
      <c r="B198" s="5">
        <f>Данные!I198-Данные!H198</f>
        <v>677800000</v>
      </c>
      <c r="C198" s="5">
        <f>Данные!J198-Данные!I198</f>
        <v>366200000</v>
      </c>
      <c r="D198" s="1">
        <f>Данные!C198</f>
        <v>45123</v>
      </c>
      <c r="F198">
        <v>2900000000</v>
      </c>
      <c r="G198">
        <v>2320000000</v>
      </c>
    </row>
    <row r="199" spans="1:7" x14ac:dyDescent="0.3">
      <c r="A199">
        <v>928000000</v>
      </c>
      <c r="B199" s="5">
        <f>Данные!I199-Данные!H199</f>
        <v>688200000</v>
      </c>
      <c r="C199" s="5">
        <f>Данные!J199-Данные!I199</f>
        <v>355800000</v>
      </c>
      <c r="D199" s="1">
        <f>Данные!C199</f>
        <v>45124</v>
      </c>
      <c r="F199">
        <v>2900000000</v>
      </c>
      <c r="G199">
        <v>2320000000</v>
      </c>
    </row>
    <row r="200" spans="1:7" x14ac:dyDescent="0.3">
      <c r="A200">
        <v>928000000</v>
      </c>
      <c r="B200" s="5">
        <f>Данные!I200-Данные!H200</f>
        <v>698600000</v>
      </c>
      <c r="C200" s="5">
        <f>Данные!J200-Данные!I200</f>
        <v>345400000</v>
      </c>
      <c r="D200" s="1">
        <f>Данные!C200</f>
        <v>45125</v>
      </c>
      <c r="F200">
        <v>2900000000</v>
      </c>
      <c r="G200">
        <v>2320000000</v>
      </c>
    </row>
    <row r="201" spans="1:7" x14ac:dyDescent="0.3">
      <c r="A201">
        <v>928000000</v>
      </c>
      <c r="B201" s="5">
        <f>Данные!I201-Данные!H201</f>
        <v>709000000</v>
      </c>
      <c r="C201" s="5">
        <f>Данные!J201-Данные!I201</f>
        <v>335000000</v>
      </c>
      <c r="D201" s="1">
        <f>Данные!C201</f>
        <v>45126</v>
      </c>
      <c r="F201">
        <v>2900000000</v>
      </c>
      <c r="G201">
        <v>2320000000</v>
      </c>
    </row>
    <row r="202" spans="1:7" x14ac:dyDescent="0.3">
      <c r="A202">
        <v>928000000</v>
      </c>
      <c r="B202" s="5">
        <f>Данные!I202-Данные!H202</f>
        <v>719400000</v>
      </c>
      <c r="C202" s="5">
        <f>Данные!J202-Данные!I202</f>
        <v>324600000</v>
      </c>
      <c r="D202" s="1">
        <f>Данные!C202</f>
        <v>45127</v>
      </c>
      <c r="F202">
        <v>2900000000</v>
      </c>
      <c r="G202">
        <v>2320000000</v>
      </c>
    </row>
    <row r="203" spans="1:7" x14ac:dyDescent="0.3">
      <c r="A203">
        <v>928000000</v>
      </c>
      <c r="B203" s="5">
        <f>Данные!I203-Данные!H203</f>
        <v>729800000</v>
      </c>
      <c r="C203" s="5">
        <f>Данные!J203-Данные!I203</f>
        <v>314200000</v>
      </c>
      <c r="D203" s="1">
        <f>Данные!C203</f>
        <v>45128</v>
      </c>
      <c r="F203">
        <v>2900000000</v>
      </c>
      <c r="G203">
        <v>2320000000</v>
      </c>
    </row>
    <row r="204" spans="1:7" x14ac:dyDescent="0.3">
      <c r="A204">
        <v>928000000</v>
      </c>
      <c r="B204" s="5">
        <f>Данные!I204-Данные!H204</f>
        <v>740200000</v>
      </c>
      <c r="C204" s="5">
        <f>Данные!J204-Данные!I204</f>
        <v>303800000</v>
      </c>
      <c r="D204" s="1">
        <f>Данные!C204</f>
        <v>45129</v>
      </c>
      <c r="F204">
        <v>2900000000</v>
      </c>
      <c r="G204">
        <v>2320000000</v>
      </c>
    </row>
    <row r="205" spans="1:7" x14ac:dyDescent="0.3">
      <c r="A205">
        <v>928000000</v>
      </c>
      <c r="B205" s="5">
        <f>Данные!I205-Данные!H205</f>
        <v>750600000</v>
      </c>
      <c r="C205" s="5">
        <f>Данные!J205-Данные!I205</f>
        <v>293400000</v>
      </c>
      <c r="D205" s="1">
        <f>Данные!C205</f>
        <v>45130</v>
      </c>
      <c r="F205">
        <v>2900000000</v>
      </c>
      <c r="G205">
        <v>2320000000</v>
      </c>
    </row>
    <row r="206" spans="1:7" x14ac:dyDescent="0.3">
      <c r="A206">
        <v>928000000</v>
      </c>
      <c r="B206" s="5">
        <f>Данные!I206-Данные!H206</f>
        <v>761000000</v>
      </c>
      <c r="C206" s="5">
        <f>Данные!J206-Данные!I206</f>
        <v>283000000</v>
      </c>
      <c r="D206" s="1">
        <f>Данные!C206</f>
        <v>45131</v>
      </c>
      <c r="F206">
        <v>2900000000</v>
      </c>
      <c r="G206">
        <v>2320000000</v>
      </c>
    </row>
    <row r="207" spans="1:7" x14ac:dyDescent="0.3">
      <c r="A207">
        <v>928000000</v>
      </c>
      <c r="B207" s="5">
        <f>Данные!I207-Данные!H207</f>
        <v>771400000</v>
      </c>
      <c r="C207" s="5">
        <f>Данные!J207-Данные!I207</f>
        <v>272600000</v>
      </c>
      <c r="D207" s="1">
        <f>Данные!C207</f>
        <v>45132</v>
      </c>
      <c r="F207">
        <v>2900000000</v>
      </c>
      <c r="G207">
        <v>2320000000</v>
      </c>
    </row>
    <row r="208" spans="1:7" x14ac:dyDescent="0.3">
      <c r="A208">
        <v>928000000</v>
      </c>
      <c r="B208" s="5">
        <f>Данные!I208-Данные!H208</f>
        <v>781800000</v>
      </c>
      <c r="C208" s="5">
        <f>Данные!J208-Данные!I208</f>
        <v>262200000</v>
      </c>
      <c r="D208" s="1">
        <f>Данные!C208</f>
        <v>45133</v>
      </c>
      <c r="F208">
        <v>2900000000</v>
      </c>
      <c r="G208">
        <v>2320000000</v>
      </c>
    </row>
    <row r="209" spans="1:7" x14ac:dyDescent="0.3">
      <c r="A209">
        <v>928000000</v>
      </c>
      <c r="B209" s="5">
        <f>Данные!I209-Данные!H209</f>
        <v>792200000</v>
      </c>
      <c r="C209" s="5">
        <f>Данные!J209-Данные!I209</f>
        <v>251800000</v>
      </c>
      <c r="D209" s="1">
        <f>Данные!C209</f>
        <v>45134</v>
      </c>
      <c r="F209">
        <v>2900000000</v>
      </c>
      <c r="G209">
        <v>2320000000</v>
      </c>
    </row>
    <row r="210" spans="1:7" x14ac:dyDescent="0.3">
      <c r="A210">
        <v>928000000</v>
      </c>
      <c r="B210" s="5">
        <f>Данные!I210-Данные!H210</f>
        <v>802600000</v>
      </c>
      <c r="C210" s="5">
        <f>Данные!J210-Данные!I210</f>
        <v>241400000</v>
      </c>
      <c r="D210" s="1">
        <f>Данные!C210</f>
        <v>45135</v>
      </c>
      <c r="F210">
        <v>2900000000</v>
      </c>
      <c r="G210">
        <v>2320000000</v>
      </c>
    </row>
    <row r="211" spans="1:7" x14ac:dyDescent="0.3">
      <c r="A211">
        <v>928000000</v>
      </c>
      <c r="B211" s="5">
        <f>Данные!I211-Данные!H211</f>
        <v>813000000</v>
      </c>
      <c r="C211" s="5">
        <f>Данные!J211-Данные!I211</f>
        <v>231000000</v>
      </c>
      <c r="D211" s="1">
        <f>Данные!C211</f>
        <v>45136</v>
      </c>
      <c r="F211">
        <v>2900000000</v>
      </c>
      <c r="G211">
        <v>2320000000</v>
      </c>
    </row>
    <row r="212" spans="1:7" x14ac:dyDescent="0.3">
      <c r="A212">
        <v>928000000</v>
      </c>
      <c r="B212" s="5">
        <f>Данные!I212-Данные!H212</f>
        <v>823400000</v>
      </c>
      <c r="C212" s="5">
        <f>Данные!J212-Данные!I212</f>
        <v>220600000</v>
      </c>
      <c r="D212" s="1">
        <f>Данные!C212</f>
        <v>45137</v>
      </c>
      <c r="F212">
        <v>2900000000</v>
      </c>
      <c r="G212">
        <v>2320000000</v>
      </c>
    </row>
    <row r="213" spans="1:7" x14ac:dyDescent="0.3">
      <c r="A213">
        <v>928000000</v>
      </c>
      <c r="B213" s="5">
        <f>Данные!I213-Данные!H213</f>
        <v>833800000</v>
      </c>
      <c r="C213" s="5">
        <f>Данные!J213-Данные!I213</f>
        <v>210200000</v>
      </c>
      <c r="D213" s="1">
        <f>Данные!C213</f>
        <v>45138</v>
      </c>
      <c r="F213">
        <v>2900000000</v>
      </c>
      <c r="G213">
        <v>2320000000</v>
      </c>
    </row>
    <row r="214" spans="1:7" x14ac:dyDescent="0.3">
      <c r="A214">
        <v>928000000</v>
      </c>
      <c r="B214" s="5">
        <f>Данные!I214-Данные!H214</f>
        <v>844200000</v>
      </c>
      <c r="C214" s="5">
        <f>Данные!J214-Данные!I214</f>
        <v>199800000</v>
      </c>
      <c r="D214" s="1">
        <f>Данные!C214</f>
        <v>45139</v>
      </c>
      <c r="F214">
        <v>2900000000</v>
      </c>
      <c r="G214">
        <v>2320000000</v>
      </c>
    </row>
    <row r="215" spans="1:7" x14ac:dyDescent="0.3">
      <c r="A215">
        <v>928000000</v>
      </c>
      <c r="B215" s="5">
        <f>Данные!I215-Данные!H215</f>
        <v>854600000</v>
      </c>
      <c r="C215" s="5">
        <f>Данные!J215-Данные!I215</f>
        <v>189400000</v>
      </c>
      <c r="D215" s="1">
        <f>Данные!C215</f>
        <v>45140</v>
      </c>
      <c r="F215">
        <v>2900000000</v>
      </c>
      <c r="G215">
        <v>2320000000</v>
      </c>
    </row>
    <row r="216" spans="1:7" x14ac:dyDescent="0.3">
      <c r="A216">
        <v>928000000</v>
      </c>
      <c r="B216" s="5">
        <f>Данные!I216-Данные!H216</f>
        <v>865000000</v>
      </c>
      <c r="C216" s="5">
        <f>Данные!J216-Данные!I216</f>
        <v>179000000</v>
      </c>
      <c r="D216" s="1">
        <f>Данные!C216</f>
        <v>45141</v>
      </c>
      <c r="F216">
        <v>2900000000</v>
      </c>
      <c r="G216">
        <v>2320000000</v>
      </c>
    </row>
    <row r="217" spans="1:7" x14ac:dyDescent="0.3">
      <c r="A217">
        <v>928000000</v>
      </c>
      <c r="B217" s="5">
        <f>Данные!I217-Данные!H217</f>
        <v>875400000</v>
      </c>
      <c r="C217" s="5">
        <f>Данные!J217-Данные!I217</f>
        <v>168600000</v>
      </c>
      <c r="D217" s="1">
        <f>Данные!C217</f>
        <v>45142</v>
      </c>
      <c r="F217">
        <v>2900000000</v>
      </c>
      <c r="G217">
        <v>2320000000</v>
      </c>
    </row>
    <row r="218" spans="1:7" x14ac:dyDescent="0.3">
      <c r="A218">
        <v>928000000</v>
      </c>
      <c r="B218" s="5">
        <f>Данные!I218-Данные!H218</f>
        <v>885800000</v>
      </c>
      <c r="C218" s="5">
        <f>Данные!J218-Данные!I218</f>
        <v>158200000</v>
      </c>
      <c r="D218" s="1">
        <f>Данные!C218</f>
        <v>45143</v>
      </c>
      <c r="F218">
        <v>2900000000</v>
      </c>
      <c r="G218">
        <v>2320000000</v>
      </c>
    </row>
    <row r="219" spans="1:7" x14ac:dyDescent="0.3">
      <c r="A219">
        <v>928000000</v>
      </c>
      <c r="B219" s="5">
        <f>Данные!I219-Данные!H219</f>
        <v>896200000</v>
      </c>
      <c r="C219" s="5">
        <f>Данные!J219-Данные!I219</f>
        <v>147800000</v>
      </c>
      <c r="D219" s="1">
        <f>Данные!C219</f>
        <v>45144</v>
      </c>
      <c r="F219">
        <v>2900000000</v>
      </c>
      <c r="G219">
        <v>2320000000</v>
      </c>
    </row>
    <row r="220" spans="1:7" x14ac:dyDescent="0.3">
      <c r="A220">
        <v>928000000</v>
      </c>
      <c r="B220" s="5">
        <f>Данные!I220-Данные!H220</f>
        <v>906600000</v>
      </c>
      <c r="C220" s="5">
        <f>Данные!J220-Данные!I220</f>
        <v>137400000</v>
      </c>
      <c r="D220" s="1">
        <f>Данные!C220</f>
        <v>45145</v>
      </c>
      <c r="F220">
        <v>2900000000</v>
      </c>
      <c r="G220">
        <v>2320000000</v>
      </c>
    </row>
    <row r="221" spans="1:7" x14ac:dyDescent="0.3">
      <c r="A221">
        <v>928000000</v>
      </c>
      <c r="B221" s="5">
        <f>Данные!I221-Данные!H221</f>
        <v>917000000</v>
      </c>
      <c r="C221" s="5">
        <f>Данные!J221-Данные!I221</f>
        <v>127000000</v>
      </c>
      <c r="D221" s="1">
        <f>Данные!C221</f>
        <v>45146</v>
      </c>
      <c r="F221">
        <v>2900000000</v>
      </c>
      <c r="G221">
        <v>2320000000</v>
      </c>
    </row>
    <row r="222" spans="1:7" x14ac:dyDescent="0.3">
      <c r="A222">
        <v>928000000</v>
      </c>
      <c r="B222" s="5">
        <f>Данные!I222-Данные!H222</f>
        <v>927400000</v>
      </c>
      <c r="C222" s="5">
        <f>Данные!J222-Данные!I222</f>
        <v>116600000</v>
      </c>
      <c r="D222" s="1">
        <f>Данные!C222</f>
        <v>45147</v>
      </c>
      <c r="F222">
        <v>2900000000</v>
      </c>
      <c r="G222">
        <v>2320000000</v>
      </c>
    </row>
    <row r="223" spans="1:7" x14ac:dyDescent="0.3">
      <c r="A223">
        <v>928000000</v>
      </c>
      <c r="B223" s="5">
        <f>Данные!I223-Данные!H223</f>
        <v>937800000</v>
      </c>
      <c r="C223" s="5">
        <f>Данные!J223-Данные!I223</f>
        <v>106200000</v>
      </c>
      <c r="D223" s="1">
        <f>Данные!C223</f>
        <v>45148</v>
      </c>
      <c r="F223">
        <v>2900000000</v>
      </c>
      <c r="G223">
        <v>2320000000</v>
      </c>
    </row>
    <row r="224" spans="1:7" x14ac:dyDescent="0.3">
      <c r="A224">
        <v>928000000</v>
      </c>
      <c r="B224" s="5">
        <f>Данные!I224-Данные!H224</f>
        <v>948200000</v>
      </c>
      <c r="C224" s="5">
        <f>Данные!J224-Данные!I224</f>
        <v>95800000</v>
      </c>
      <c r="D224" s="1">
        <f>Данные!C224</f>
        <v>45149</v>
      </c>
      <c r="F224">
        <v>2900000000</v>
      </c>
      <c r="G224">
        <v>2320000000</v>
      </c>
    </row>
    <row r="225" spans="1:7" x14ac:dyDescent="0.3">
      <c r="A225">
        <v>928000000</v>
      </c>
      <c r="B225" s="5">
        <f>Данные!I225-Данные!H225</f>
        <v>958600000</v>
      </c>
      <c r="C225" s="5">
        <f>Данные!J225-Данные!I225</f>
        <v>85400000</v>
      </c>
      <c r="D225" s="1">
        <f>Данные!C225</f>
        <v>45150</v>
      </c>
      <c r="F225">
        <v>2900000000</v>
      </c>
      <c r="G225">
        <v>2320000000</v>
      </c>
    </row>
    <row r="226" spans="1:7" x14ac:dyDescent="0.3">
      <c r="A226">
        <v>928000000</v>
      </c>
      <c r="B226" s="5">
        <f>Данные!I226-Данные!H226</f>
        <v>969000000</v>
      </c>
      <c r="C226" s="5">
        <f>Данные!J226-Данные!I226</f>
        <v>75000000</v>
      </c>
      <c r="D226" s="1">
        <f>Данные!C226</f>
        <v>45151</v>
      </c>
      <c r="F226">
        <v>2900000000</v>
      </c>
      <c r="G226">
        <v>2320000000</v>
      </c>
    </row>
    <row r="227" spans="1:7" x14ac:dyDescent="0.3">
      <c r="A227">
        <v>928000000</v>
      </c>
      <c r="B227" s="5">
        <f>Данные!I227-Данные!H227</f>
        <v>979400000</v>
      </c>
      <c r="C227" s="5">
        <f>Данные!J227-Данные!I227</f>
        <v>64600000</v>
      </c>
      <c r="D227" s="1">
        <f>Данные!C227</f>
        <v>45152</v>
      </c>
      <c r="F227">
        <v>2900000000</v>
      </c>
      <c r="G227">
        <v>2320000000</v>
      </c>
    </row>
    <row r="228" spans="1:7" x14ac:dyDescent="0.3">
      <c r="A228">
        <v>928000000</v>
      </c>
      <c r="B228" s="5">
        <f>Данные!I228-Данные!H228</f>
        <v>989800000</v>
      </c>
      <c r="C228" s="5">
        <f>Данные!J228-Данные!I228</f>
        <v>54200000</v>
      </c>
      <c r="D228" s="1">
        <f>Данные!C228</f>
        <v>45153</v>
      </c>
      <c r="F228">
        <v>2900000000</v>
      </c>
      <c r="G228">
        <v>2320000000</v>
      </c>
    </row>
    <row r="229" spans="1:7" x14ac:dyDescent="0.3">
      <c r="A229">
        <v>928000000</v>
      </c>
      <c r="B229" s="5">
        <f>Данные!I229-Данные!H229</f>
        <v>1000200000</v>
      </c>
      <c r="C229" s="5">
        <f>Данные!J229-Данные!I229</f>
        <v>43800000</v>
      </c>
      <c r="D229" s="1">
        <f>Данные!C229</f>
        <v>45154</v>
      </c>
      <c r="F229">
        <v>2900000000</v>
      </c>
      <c r="G229">
        <v>2320000000</v>
      </c>
    </row>
    <row r="230" spans="1:7" x14ac:dyDescent="0.3">
      <c r="A230">
        <v>934400000</v>
      </c>
      <c r="B230" s="5">
        <f>Данные!I230-Данные!H230</f>
        <v>998000000</v>
      </c>
      <c r="C230" s="5">
        <f>Данные!J230-Данные!I230</f>
        <v>39600000</v>
      </c>
      <c r="D230" s="1">
        <f>Данные!C230</f>
        <v>45155</v>
      </c>
      <c r="F230">
        <v>2900000000</v>
      </c>
      <c r="G230">
        <v>2320000000</v>
      </c>
    </row>
    <row r="231" spans="1:7" x14ac:dyDescent="0.3">
      <c r="A231">
        <v>944800000</v>
      </c>
      <c r="B231" s="5">
        <f>Данные!I231-Данные!H231</f>
        <v>987600000</v>
      </c>
      <c r="C231" s="5">
        <f>Данные!J231-Данные!I231</f>
        <v>39600000</v>
      </c>
      <c r="D231" s="1">
        <f>Данные!C231</f>
        <v>45156</v>
      </c>
      <c r="F231">
        <v>2900000000</v>
      </c>
      <c r="G231">
        <v>2320000000</v>
      </c>
    </row>
    <row r="232" spans="1:7" x14ac:dyDescent="0.3">
      <c r="A232">
        <v>955200000</v>
      </c>
      <c r="B232" s="5">
        <f>Данные!I232-Данные!H232</f>
        <v>977200000</v>
      </c>
      <c r="C232" s="5">
        <f>Данные!J232-Данные!I232</f>
        <v>39600000</v>
      </c>
      <c r="D232" s="1">
        <f>Данные!C232</f>
        <v>45157</v>
      </c>
      <c r="F232">
        <v>2900000000</v>
      </c>
      <c r="G232">
        <v>2320000000</v>
      </c>
    </row>
    <row r="233" spans="1:7" x14ac:dyDescent="0.3">
      <c r="A233">
        <v>965600000</v>
      </c>
      <c r="B233" s="5">
        <f>Данные!I233-Данные!H233</f>
        <v>966800000</v>
      </c>
      <c r="C233" s="5">
        <f>Данные!J233-Данные!I233</f>
        <v>39600000</v>
      </c>
      <c r="D233" s="1">
        <f>Данные!C233</f>
        <v>45158</v>
      </c>
      <c r="F233">
        <v>2900000000</v>
      </c>
      <c r="G233">
        <v>2320000000</v>
      </c>
    </row>
    <row r="234" spans="1:7" x14ac:dyDescent="0.3">
      <c r="A234">
        <v>976000000</v>
      </c>
      <c r="B234" s="5">
        <f>Данные!I234-Данные!H234</f>
        <v>956400000</v>
      </c>
      <c r="C234" s="5">
        <f>Данные!J234-Данные!I234</f>
        <v>39600000</v>
      </c>
      <c r="D234" s="1">
        <f>Данные!C234</f>
        <v>45159</v>
      </c>
      <c r="F234">
        <v>2900000000</v>
      </c>
      <c r="G234">
        <v>2320000000</v>
      </c>
    </row>
    <row r="235" spans="1:7" x14ac:dyDescent="0.3">
      <c r="A235">
        <v>986400000</v>
      </c>
      <c r="B235" s="5">
        <f>Данные!I235-Данные!H235</f>
        <v>946000000</v>
      </c>
      <c r="C235" s="5">
        <f>Данные!J235-Данные!I235</f>
        <v>39600000</v>
      </c>
      <c r="D235" s="1">
        <f>Данные!C235</f>
        <v>45160</v>
      </c>
      <c r="F235">
        <v>2900000000</v>
      </c>
      <c r="G235">
        <v>2320000000</v>
      </c>
    </row>
    <row r="236" spans="1:7" x14ac:dyDescent="0.3">
      <c r="A236">
        <v>996800000</v>
      </c>
      <c r="B236" s="5">
        <f>Данные!I236-Данные!H236</f>
        <v>935600000</v>
      </c>
      <c r="C236" s="5">
        <f>Данные!J236-Данные!I236</f>
        <v>39600000</v>
      </c>
      <c r="D236" s="1">
        <f>Данные!C236</f>
        <v>45161</v>
      </c>
      <c r="F236">
        <v>2900000000</v>
      </c>
      <c r="G236">
        <v>2320000000</v>
      </c>
    </row>
    <row r="237" spans="1:7" x14ac:dyDescent="0.3">
      <c r="A237">
        <v>1007200000</v>
      </c>
      <c r="B237" s="5">
        <f>Данные!I237-Данные!H237</f>
        <v>925200000</v>
      </c>
      <c r="C237" s="5">
        <f>Данные!J237-Данные!I237</f>
        <v>39600000</v>
      </c>
      <c r="D237" s="1">
        <f>Данные!C237</f>
        <v>45162</v>
      </c>
      <c r="F237">
        <v>2900000000</v>
      </c>
      <c r="G237">
        <v>2320000000</v>
      </c>
    </row>
    <row r="238" spans="1:7" x14ac:dyDescent="0.3">
      <c r="A238">
        <v>1017600000</v>
      </c>
      <c r="B238" s="5">
        <f>Данные!I238-Данные!H238</f>
        <v>914800000</v>
      </c>
      <c r="C238" s="5">
        <f>Данные!J238-Данные!I238</f>
        <v>39600000</v>
      </c>
      <c r="D238" s="1">
        <f>Данные!C238</f>
        <v>45163</v>
      </c>
      <c r="F238">
        <v>2900000000</v>
      </c>
      <c r="G238">
        <v>2320000000</v>
      </c>
    </row>
    <row r="239" spans="1:7" x14ac:dyDescent="0.3">
      <c r="A239">
        <v>1028000000</v>
      </c>
      <c r="B239" s="5">
        <f>Данные!I239-Данные!H239</f>
        <v>904400000</v>
      </c>
      <c r="C239" s="5">
        <f>Данные!J239-Данные!I239</f>
        <v>39600000</v>
      </c>
      <c r="D239" s="1">
        <f>Данные!C239</f>
        <v>45164</v>
      </c>
      <c r="F239">
        <v>2900000000</v>
      </c>
      <c r="G239">
        <v>2320000000</v>
      </c>
    </row>
    <row r="240" spans="1:7" x14ac:dyDescent="0.3">
      <c r="A240">
        <v>1038400000</v>
      </c>
      <c r="B240" s="5">
        <f>Данные!I240-Данные!H240</f>
        <v>894000000</v>
      </c>
      <c r="C240" s="5">
        <f>Данные!J240-Данные!I240</f>
        <v>39600000</v>
      </c>
      <c r="D240" s="1">
        <f>Данные!C240</f>
        <v>45165</v>
      </c>
      <c r="F240">
        <v>2900000000</v>
      </c>
      <c r="G240">
        <v>2320000000</v>
      </c>
    </row>
    <row r="241" spans="1:7" x14ac:dyDescent="0.3">
      <c r="A241">
        <v>1048800000</v>
      </c>
      <c r="B241" s="5">
        <f>Данные!I241-Данные!H241</f>
        <v>883600000</v>
      </c>
      <c r="C241" s="5">
        <f>Данные!J241-Данные!I241</f>
        <v>39600000</v>
      </c>
      <c r="D241" s="1">
        <f>Данные!C241</f>
        <v>45166</v>
      </c>
      <c r="F241">
        <v>2900000000</v>
      </c>
      <c r="G241">
        <v>2320000000</v>
      </c>
    </row>
    <row r="242" spans="1:7" x14ac:dyDescent="0.3">
      <c r="A242">
        <v>1059200000</v>
      </c>
      <c r="B242" s="5">
        <f>Данные!I242-Данные!H242</f>
        <v>873200000</v>
      </c>
      <c r="C242" s="5">
        <f>Данные!J242-Данные!I242</f>
        <v>39600000</v>
      </c>
      <c r="D242" s="1">
        <f>Данные!C242</f>
        <v>45167</v>
      </c>
      <c r="F242">
        <v>2900000000</v>
      </c>
      <c r="G242">
        <v>2320000000</v>
      </c>
    </row>
    <row r="243" spans="1:7" x14ac:dyDescent="0.3">
      <c r="A243">
        <v>1069600000</v>
      </c>
      <c r="B243" s="5">
        <f>Данные!I243-Данные!H243</f>
        <v>862800000</v>
      </c>
      <c r="C243" s="5">
        <f>Данные!J243-Данные!I243</f>
        <v>39600000</v>
      </c>
      <c r="D243" s="1">
        <f>Данные!C243</f>
        <v>45168</v>
      </c>
      <c r="F243">
        <v>2900000000</v>
      </c>
      <c r="G243">
        <v>2320000000</v>
      </c>
    </row>
    <row r="244" spans="1:7" x14ac:dyDescent="0.3">
      <c r="A244">
        <v>1080000000</v>
      </c>
      <c r="B244" s="5">
        <f>Данные!I244-Данные!H244</f>
        <v>852400000</v>
      </c>
      <c r="C244" s="5">
        <f>Данные!J244-Данные!I244</f>
        <v>39600000</v>
      </c>
      <c r="D244" s="1">
        <f>Данные!C244</f>
        <v>45169</v>
      </c>
      <c r="F244">
        <v>2900000000</v>
      </c>
      <c r="G244">
        <v>2320000000</v>
      </c>
    </row>
    <row r="245" spans="1:7" x14ac:dyDescent="0.3">
      <c r="A245">
        <v>1090400000</v>
      </c>
      <c r="B245" s="5">
        <f>Данные!I245-Данные!H245</f>
        <v>842000000</v>
      </c>
      <c r="C245" s="5">
        <f>Данные!J245-Данные!I245</f>
        <v>39600000</v>
      </c>
      <c r="D245" s="1">
        <f>Данные!C245</f>
        <v>45170</v>
      </c>
      <c r="F245">
        <v>2900000000</v>
      </c>
      <c r="G245">
        <v>2320000000</v>
      </c>
    </row>
    <row r="246" spans="1:7" x14ac:dyDescent="0.3">
      <c r="A246">
        <v>1100800000</v>
      </c>
      <c r="B246" s="5">
        <f>Данные!I246-Данные!H246</f>
        <v>831600000</v>
      </c>
      <c r="C246" s="5">
        <f>Данные!J246-Данные!I246</f>
        <v>39600000</v>
      </c>
      <c r="D246" s="1">
        <f>Данные!C246</f>
        <v>45171</v>
      </c>
      <c r="F246">
        <v>2900000000</v>
      </c>
      <c r="G246">
        <v>2320000000</v>
      </c>
    </row>
    <row r="247" spans="1:7" x14ac:dyDescent="0.3">
      <c r="A247">
        <v>1111200000</v>
      </c>
      <c r="B247" s="5">
        <f>Данные!I247-Данные!H247</f>
        <v>821200000</v>
      </c>
      <c r="C247" s="5">
        <f>Данные!J247-Данные!I247</f>
        <v>39600000</v>
      </c>
      <c r="D247" s="1">
        <f>Данные!C247</f>
        <v>45172</v>
      </c>
      <c r="F247">
        <v>2900000000</v>
      </c>
      <c r="G247">
        <v>2320000000</v>
      </c>
    </row>
    <row r="248" spans="1:7" x14ac:dyDescent="0.3">
      <c r="A248">
        <v>1121600000</v>
      </c>
      <c r="B248" s="5">
        <f>Данные!I248-Данные!H248</f>
        <v>810800000</v>
      </c>
      <c r="C248" s="5">
        <f>Данные!J248-Данные!I248</f>
        <v>39600000</v>
      </c>
      <c r="D248" s="1">
        <f>Данные!C248</f>
        <v>45173</v>
      </c>
      <c r="F248">
        <v>2900000000</v>
      </c>
      <c r="G248">
        <v>2320000000</v>
      </c>
    </row>
    <row r="249" spans="1:7" x14ac:dyDescent="0.3">
      <c r="A249">
        <v>1132000000</v>
      </c>
      <c r="B249" s="5">
        <f>Данные!I249-Данные!H249</f>
        <v>800400000</v>
      </c>
      <c r="C249" s="5">
        <f>Данные!J249-Данные!I249</f>
        <v>39600000</v>
      </c>
      <c r="D249" s="1">
        <f>Данные!C249</f>
        <v>45174</v>
      </c>
      <c r="F249">
        <v>2900000000</v>
      </c>
      <c r="G249">
        <v>2320000000</v>
      </c>
    </row>
    <row r="250" spans="1:7" x14ac:dyDescent="0.3">
      <c r="A250">
        <v>1142400000</v>
      </c>
      <c r="B250" s="5">
        <f>Данные!I250-Данные!H250</f>
        <v>790000000</v>
      </c>
      <c r="C250" s="5">
        <f>Данные!J250-Данные!I250</f>
        <v>39600000</v>
      </c>
      <c r="D250" s="1">
        <f>Данные!C250</f>
        <v>45175</v>
      </c>
      <c r="F250">
        <v>2900000000</v>
      </c>
      <c r="G250">
        <v>2320000000</v>
      </c>
    </row>
    <row r="251" spans="1:7" x14ac:dyDescent="0.3">
      <c r="A251">
        <v>1152800000</v>
      </c>
      <c r="B251" s="5">
        <f>Данные!I251-Данные!H251</f>
        <v>779600000</v>
      </c>
      <c r="C251" s="5">
        <f>Данные!J251-Данные!I251</f>
        <v>39600000</v>
      </c>
      <c r="D251" s="1">
        <f>Данные!C251</f>
        <v>45176</v>
      </c>
      <c r="F251">
        <v>2900000000</v>
      </c>
      <c r="G251">
        <v>2320000000</v>
      </c>
    </row>
    <row r="252" spans="1:7" x14ac:dyDescent="0.3">
      <c r="A252">
        <v>1163200000</v>
      </c>
      <c r="B252" s="5">
        <f>Данные!I252-Данные!H252</f>
        <v>769200000</v>
      </c>
      <c r="C252" s="5">
        <f>Данные!J252-Данные!I252</f>
        <v>39600000</v>
      </c>
      <c r="D252" s="1">
        <f>Данные!C252</f>
        <v>45177</v>
      </c>
      <c r="F252">
        <v>2900000000</v>
      </c>
      <c r="G252">
        <v>2320000000</v>
      </c>
    </row>
    <row r="253" spans="1:7" x14ac:dyDescent="0.3">
      <c r="A253">
        <v>1173600000</v>
      </c>
      <c r="B253" s="5">
        <f>Данные!I253-Данные!H253</f>
        <v>758800000</v>
      </c>
      <c r="C253" s="5">
        <f>Данные!J253-Данные!I253</f>
        <v>39600000</v>
      </c>
      <c r="D253" s="1">
        <f>Данные!C253</f>
        <v>45178</v>
      </c>
      <c r="F253">
        <v>2900000000</v>
      </c>
      <c r="G253">
        <v>2320000000</v>
      </c>
    </row>
    <row r="254" spans="1:7" x14ac:dyDescent="0.3">
      <c r="A254">
        <v>1184000000</v>
      </c>
      <c r="B254" s="5">
        <f>Данные!I254-Данные!H254</f>
        <v>748400000</v>
      </c>
      <c r="C254" s="5">
        <f>Данные!J254-Данные!I254</f>
        <v>39600000</v>
      </c>
      <c r="D254" s="1">
        <f>Данные!C254</f>
        <v>45179</v>
      </c>
      <c r="F254">
        <v>2900000000</v>
      </c>
      <c r="G254">
        <v>2320000000</v>
      </c>
    </row>
    <row r="255" spans="1:7" x14ac:dyDescent="0.3">
      <c r="A255">
        <v>1194400000</v>
      </c>
      <c r="B255" s="5">
        <f>Данные!I255-Данные!H255</f>
        <v>738000000</v>
      </c>
      <c r="C255" s="5">
        <f>Данные!J255-Данные!I255</f>
        <v>39600000</v>
      </c>
      <c r="D255" s="1">
        <f>Данные!C255</f>
        <v>45180</v>
      </c>
      <c r="F255">
        <v>2900000000</v>
      </c>
      <c r="G255">
        <v>2320000000</v>
      </c>
    </row>
    <row r="256" spans="1:7" x14ac:dyDescent="0.3">
      <c r="A256">
        <v>1204800000</v>
      </c>
      <c r="B256" s="5">
        <f>Данные!I256-Данные!H256</f>
        <v>727600000</v>
      </c>
      <c r="C256" s="5">
        <f>Данные!J256-Данные!I256</f>
        <v>39600000</v>
      </c>
      <c r="D256" s="1">
        <f>Данные!C256</f>
        <v>45181</v>
      </c>
      <c r="F256">
        <v>2900000000</v>
      </c>
      <c r="G256">
        <v>2320000000</v>
      </c>
    </row>
    <row r="257" spans="1:7" x14ac:dyDescent="0.3">
      <c r="A257">
        <v>1215200000</v>
      </c>
      <c r="B257" s="5">
        <f>Данные!I257-Данные!H257</f>
        <v>717200000</v>
      </c>
      <c r="C257" s="5">
        <f>Данные!J257-Данные!I257</f>
        <v>39600000</v>
      </c>
      <c r="D257" s="1">
        <f>Данные!C257</f>
        <v>45182</v>
      </c>
      <c r="F257">
        <v>2900000000</v>
      </c>
      <c r="G257">
        <v>2320000000</v>
      </c>
    </row>
    <row r="258" spans="1:7" x14ac:dyDescent="0.3">
      <c r="A258">
        <v>1225600000</v>
      </c>
      <c r="B258" s="5">
        <f>Данные!I258-Данные!H258</f>
        <v>706800000</v>
      </c>
      <c r="C258" s="5">
        <f>Данные!J258-Данные!I258</f>
        <v>39600000</v>
      </c>
      <c r="D258" s="1">
        <f>Данные!C258</f>
        <v>45183</v>
      </c>
      <c r="F258">
        <v>2900000000</v>
      </c>
      <c r="G258">
        <v>2320000000</v>
      </c>
    </row>
    <row r="259" spans="1:7" x14ac:dyDescent="0.3">
      <c r="A259">
        <v>1236000000</v>
      </c>
      <c r="B259" s="5">
        <f>Данные!I259-Данные!H259</f>
        <v>696400000</v>
      </c>
      <c r="C259" s="5">
        <f>Данные!J259-Данные!I259</f>
        <v>39600000</v>
      </c>
      <c r="D259" s="1">
        <f>Данные!C259</f>
        <v>45184</v>
      </c>
      <c r="F259">
        <v>2900000000</v>
      </c>
      <c r="G259">
        <v>2320000000</v>
      </c>
    </row>
    <row r="260" spans="1:7" x14ac:dyDescent="0.3">
      <c r="A260">
        <v>1246400000</v>
      </c>
      <c r="B260" s="5">
        <f>Данные!I260-Данные!H260</f>
        <v>686000000</v>
      </c>
      <c r="C260" s="5">
        <f>Данные!J260-Данные!I260</f>
        <v>39600000</v>
      </c>
      <c r="D260" s="1">
        <f>Данные!C260</f>
        <v>45185</v>
      </c>
      <c r="F260">
        <v>2900000000</v>
      </c>
      <c r="G260">
        <v>2320000000</v>
      </c>
    </row>
    <row r="261" spans="1:7" x14ac:dyDescent="0.3">
      <c r="A261">
        <v>1256800000</v>
      </c>
      <c r="B261" s="5">
        <f>Данные!I261-Данные!H261</f>
        <v>675600000</v>
      </c>
      <c r="C261" s="5">
        <f>Данные!J261-Данные!I261</f>
        <v>39600000</v>
      </c>
      <c r="D261" s="1">
        <f>Данные!C261</f>
        <v>45186</v>
      </c>
      <c r="F261">
        <v>2900000000</v>
      </c>
      <c r="G261">
        <v>2320000000</v>
      </c>
    </row>
    <row r="262" spans="1:7" x14ac:dyDescent="0.3">
      <c r="A262">
        <v>1267200000</v>
      </c>
      <c r="B262" s="5">
        <f>Данные!I262-Данные!H262</f>
        <v>665200000</v>
      </c>
      <c r="C262" s="5">
        <f>Данные!J262-Данные!I262</f>
        <v>39600000</v>
      </c>
      <c r="D262" s="1">
        <f>Данные!C262</f>
        <v>45187</v>
      </c>
      <c r="F262">
        <v>2900000000</v>
      </c>
      <c r="G262">
        <v>2320000000</v>
      </c>
    </row>
    <row r="263" spans="1:7" x14ac:dyDescent="0.3">
      <c r="A263">
        <v>1277600000</v>
      </c>
      <c r="B263" s="5">
        <f>Данные!I263-Данные!H263</f>
        <v>654800000</v>
      </c>
      <c r="C263" s="5">
        <f>Данные!J263-Данные!I263</f>
        <v>39600000</v>
      </c>
      <c r="D263" s="1">
        <f>Данные!C263</f>
        <v>45188</v>
      </c>
      <c r="F263">
        <v>2900000000</v>
      </c>
      <c r="G263">
        <v>2320000000</v>
      </c>
    </row>
    <row r="264" spans="1:7" x14ac:dyDescent="0.3">
      <c r="A264">
        <v>1288000000</v>
      </c>
      <c r="B264" s="5">
        <f>Данные!I264-Данные!H264</f>
        <v>644400000</v>
      </c>
      <c r="C264" s="5">
        <f>Данные!J264-Данные!I264</f>
        <v>39600000</v>
      </c>
      <c r="D264" s="1">
        <f>Данные!C264</f>
        <v>45189</v>
      </c>
      <c r="F264">
        <v>2900000000</v>
      </c>
      <c r="G264">
        <v>2320000000</v>
      </c>
    </row>
    <row r="265" spans="1:7" x14ac:dyDescent="0.3">
      <c r="A265">
        <v>1298400000</v>
      </c>
      <c r="B265" s="5">
        <f>Данные!I265-Данные!H265</f>
        <v>634000000</v>
      </c>
      <c r="C265" s="5">
        <f>Данные!J265-Данные!I265</f>
        <v>39600000</v>
      </c>
      <c r="D265" s="1">
        <f>Данные!C265</f>
        <v>45190</v>
      </c>
      <c r="F265">
        <v>2900000000</v>
      </c>
      <c r="G265">
        <v>2320000000</v>
      </c>
    </row>
    <row r="266" spans="1:7" x14ac:dyDescent="0.3">
      <c r="A266">
        <v>1308800000</v>
      </c>
      <c r="B266" s="5">
        <f>Данные!I266-Данные!H266</f>
        <v>623600000</v>
      </c>
      <c r="C266" s="5">
        <f>Данные!J266-Данные!I266</f>
        <v>39600000</v>
      </c>
      <c r="D266" s="1">
        <f>Данные!C266</f>
        <v>45191</v>
      </c>
      <c r="F266">
        <v>2900000000</v>
      </c>
      <c r="G266">
        <v>2320000000</v>
      </c>
    </row>
    <row r="267" spans="1:7" x14ac:dyDescent="0.3">
      <c r="A267">
        <v>1319200000</v>
      </c>
      <c r="B267" s="5">
        <f>Данные!I267-Данные!H267</f>
        <v>613200000</v>
      </c>
      <c r="C267" s="5">
        <f>Данные!J267-Данные!I267</f>
        <v>39600000</v>
      </c>
      <c r="D267" s="1">
        <f>Данные!C267</f>
        <v>45192</v>
      </c>
      <c r="F267">
        <v>2900000000</v>
      </c>
      <c r="G267">
        <v>2320000000</v>
      </c>
    </row>
    <row r="268" spans="1:7" x14ac:dyDescent="0.3">
      <c r="A268">
        <v>1329600000</v>
      </c>
      <c r="B268" s="5">
        <f>Данные!I268-Данные!H268</f>
        <v>602800000</v>
      </c>
      <c r="C268" s="5">
        <f>Данные!J268-Данные!I268</f>
        <v>39600000</v>
      </c>
      <c r="D268" s="1">
        <f>Данные!C268</f>
        <v>45193</v>
      </c>
      <c r="F268">
        <v>2900000000</v>
      </c>
      <c r="G268">
        <v>2320000000</v>
      </c>
    </row>
    <row r="269" spans="1:7" x14ac:dyDescent="0.3">
      <c r="A269">
        <v>1340000000</v>
      </c>
      <c r="B269" s="5">
        <f>Данные!I269-Данные!H269</f>
        <v>592400000</v>
      </c>
      <c r="C269" s="5">
        <f>Данные!J269-Данные!I269</f>
        <v>39600000</v>
      </c>
      <c r="D269" s="1">
        <f>Данные!C269</f>
        <v>45194</v>
      </c>
      <c r="F269">
        <v>2900000000</v>
      </c>
      <c r="G269">
        <v>2320000000</v>
      </c>
    </row>
    <row r="270" spans="1:7" x14ac:dyDescent="0.3">
      <c r="A270">
        <v>1350400000</v>
      </c>
      <c r="B270" s="5">
        <f>Данные!I270-Данные!H270</f>
        <v>582000000</v>
      </c>
      <c r="C270" s="5">
        <f>Данные!J270-Данные!I270</f>
        <v>39600000</v>
      </c>
      <c r="D270" s="1">
        <f>Данные!C270</f>
        <v>45195</v>
      </c>
      <c r="F270">
        <v>2900000000</v>
      </c>
      <c r="G270">
        <v>2320000000</v>
      </c>
    </row>
    <row r="271" spans="1:7" x14ac:dyDescent="0.3">
      <c r="A271">
        <v>1360800000</v>
      </c>
      <c r="B271" s="5">
        <f>Данные!I271-Данные!H271</f>
        <v>571600000</v>
      </c>
      <c r="C271" s="5">
        <f>Данные!J271-Данные!I271</f>
        <v>39600000</v>
      </c>
      <c r="D271" s="1">
        <f>Данные!C271</f>
        <v>45196</v>
      </c>
      <c r="F271">
        <v>2900000000</v>
      </c>
      <c r="G271">
        <v>2320000000</v>
      </c>
    </row>
    <row r="272" spans="1:7" x14ac:dyDescent="0.3">
      <c r="A272">
        <v>1371200000</v>
      </c>
      <c r="B272" s="5">
        <f>Данные!I272-Данные!H272</f>
        <v>561200000</v>
      </c>
      <c r="C272" s="5">
        <f>Данные!J272-Данные!I272</f>
        <v>39600000</v>
      </c>
      <c r="D272" s="1">
        <f>Данные!C272</f>
        <v>45197</v>
      </c>
      <c r="F272">
        <v>2900000000</v>
      </c>
      <c r="G272">
        <v>2320000000</v>
      </c>
    </row>
    <row r="273" spans="1:7" x14ac:dyDescent="0.3">
      <c r="A273">
        <v>1381600000</v>
      </c>
      <c r="B273" s="5">
        <f>Данные!I273-Данные!H273</f>
        <v>550800000</v>
      </c>
      <c r="C273" s="5">
        <f>Данные!J273-Данные!I273</f>
        <v>39600000</v>
      </c>
      <c r="D273" s="1">
        <f>Данные!C273</f>
        <v>45198</v>
      </c>
      <c r="F273">
        <v>2900000000</v>
      </c>
      <c r="G273">
        <v>2320000000</v>
      </c>
    </row>
    <row r="274" spans="1:7" x14ac:dyDescent="0.3">
      <c r="A274">
        <v>1392000000</v>
      </c>
      <c r="B274" s="5">
        <f>Данные!I274-Данные!H274</f>
        <v>540400000</v>
      </c>
      <c r="C274" s="5">
        <f>Данные!J274-Данные!I274</f>
        <v>39600000</v>
      </c>
      <c r="D274" s="1">
        <f>Данные!C274</f>
        <v>45199</v>
      </c>
      <c r="F274">
        <v>2900000000</v>
      </c>
      <c r="G274">
        <v>2320000000</v>
      </c>
    </row>
    <row r="275" spans="1:7" x14ac:dyDescent="0.3">
      <c r="A275">
        <v>1392000000</v>
      </c>
      <c r="B275" s="5">
        <f>Данные!I275-Данные!H275</f>
        <v>550800000</v>
      </c>
      <c r="C275" s="5">
        <f>Данные!J275-Данные!I275</f>
        <v>49200000</v>
      </c>
      <c r="D275" s="1">
        <f>Данные!C275</f>
        <v>45200</v>
      </c>
      <c r="F275">
        <v>2900000000</v>
      </c>
      <c r="G275">
        <v>2320000000</v>
      </c>
    </row>
    <row r="276" spans="1:7" x14ac:dyDescent="0.3">
      <c r="A276">
        <v>1392000000</v>
      </c>
      <c r="B276" s="5">
        <f>Данные!I276-Данные!H276</f>
        <v>570800000</v>
      </c>
      <c r="C276" s="5">
        <f>Данные!J276-Данные!I276</f>
        <v>49200000</v>
      </c>
      <c r="D276" s="1">
        <f>Данные!C276</f>
        <v>45201</v>
      </c>
      <c r="F276">
        <v>2900000000</v>
      </c>
      <c r="G276">
        <v>2320000000</v>
      </c>
    </row>
    <row r="277" spans="1:7" x14ac:dyDescent="0.3">
      <c r="A277">
        <v>1392000000</v>
      </c>
      <c r="B277" s="5">
        <f>Данные!I277-Данные!H277</f>
        <v>590800000</v>
      </c>
      <c r="C277" s="5">
        <f>Данные!J277-Данные!I277</f>
        <v>49200000</v>
      </c>
      <c r="D277" s="1">
        <f>Данные!C277</f>
        <v>45202</v>
      </c>
      <c r="F277">
        <v>2900000000</v>
      </c>
      <c r="G277">
        <v>2320000000</v>
      </c>
    </row>
    <row r="278" spans="1:7" x14ac:dyDescent="0.3">
      <c r="A278">
        <v>1392000000</v>
      </c>
      <c r="B278" s="5">
        <f>Данные!I278-Данные!H278</f>
        <v>610800000</v>
      </c>
      <c r="C278" s="5">
        <f>Данные!J278-Данные!I278</f>
        <v>49200000</v>
      </c>
      <c r="D278" s="1">
        <f>Данные!C278</f>
        <v>45203</v>
      </c>
      <c r="F278">
        <v>2900000000</v>
      </c>
      <c r="G278">
        <v>2320000000</v>
      </c>
    </row>
    <row r="279" spans="1:7" x14ac:dyDescent="0.3">
      <c r="A279">
        <v>1392000000</v>
      </c>
      <c r="B279" s="5">
        <f>Данные!I279-Данные!H279</f>
        <v>630800000</v>
      </c>
      <c r="C279" s="5">
        <f>Данные!J279-Данные!I279</f>
        <v>49200000</v>
      </c>
      <c r="D279" s="1">
        <f>Данные!C279</f>
        <v>45204</v>
      </c>
      <c r="F279">
        <v>2900000000</v>
      </c>
      <c r="G279">
        <v>2320000000</v>
      </c>
    </row>
    <row r="280" spans="1:7" x14ac:dyDescent="0.3">
      <c r="A280">
        <v>1392000000</v>
      </c>
      <c r="B280" s="5">
        <f>Данные!I280-Данные!H280</f>
        <v>650800000</v>
      </c>
      <c r="C280" s="5">
        <f>Данные!J280-Данные!I280</f>
        <v>49200000</v>
      </c>
      <c r="D280" s="1">
        <f>Данные!C280</f>
        <v>45205</v>
      </c>
      <c r="F280">
        <v>2900000000</v>
      </c>
      <c r="G280">
        <v>2320000000</v>
      </c>
    </row>
    <row r="281" spans="1:7" x14ac:dyDescent="0.3">
      <c r="A281">
        <v>1392000000</v>
      </c>
      <c r="B281" s="5">
        <f>Данные!I281-Данные!H281</f>
        <v>670800000</v>
      </c>
      <c r="C281" s="5">
        <f>Данные!J281-Данные!I281</f>
        <v>49200000</v>
      </c>
      <c r="D281" s="1">
        <f>Данные!C281</f>
        <v>45206</v>
      </c>
      <c r="F281">
        <v>2900000000</v>
      </c>
      <c r="G281">
        <v>2320000000</v>
      </c>
    </row>
    <row r="282" spans="1:7" x14ac:dyDescent="0.3">
      <c r="A282">
        <v>1392000000</v>
      </c>
      <c r="B282" s="5">
        <f>Данные!I282-Данные!H282</f>
        <v>690800000</v>
      </c>
      <c r="C282" s="5">
        <f>Данные!J282-Данные!I282</f>
        <v>49200000</v>
      </c>
      <c r="D282" s="1">
        <f>Данные!C282</f>
        <v>45207</v>
      </c>
      <c r="F282">
        <v>2900000000</v>
      </c>
      <c r="G282">
        <v>2320000000</v>
      </c>
    </row>
    <row r="283" spans="1:7" x14ac:dyDescent="0.3">
      <c r="A283">
        <v>1392000000</v>
      </c>
      <c r="B283" s="5">
        <f>Данные!I283-Данные!H283</f>
        <v>710800000</v>
      </c>
      <c r="C283" s="5">
        <f>Данные!J283-Данные!I283</f>
        <v>49200000</v>
      </c>
      <c r="D283" s="1">
        <f>Данные!C283</f>
        <v>45208</v>
      </c>
      <c r="F283">
        <v>2900000000</v>
      </c>
      <c r="G283">
        <v>2320000000</v>
      </c>
    </row>
    <row r="284" spans="1:7" x14ac:dyDescent="0.3">
      <c r="A284">
        <v>1392000000</v>
      </c>
      <c r="B284" s="5">
        <f>Данные!I284-Данные!H284</f>
        <v>730800000</v>
      </c>
      <c r="C284" s="5">
        <f>Данные!J284-Данные!I284</f>
        <v>49200000</v>
      </c>
      <c r="D284" s="1">
        <f>Данные!C284</f>
        <v>45209</v>
      </c>
      <c r="F284">
        <v>2900000000</v>
      </c>
      <c r="G284">
        <v>2320000000</v>
      </c>
    </row>
    <row r="285" spans="1:7" x14ac:dyDescent="0.3">
      <c r="A285">
        <v>1392000000</v>
      </c>
      <c r="B285" s="5">
        <f>Данные!I285-Данные!H285</f>
        <v>750800000</v>
      </c>
      <c r="C285" s="5">
        <f>Данные!J285-Данные!I285</f>
        <v>49200000</v>
      </c>
      <c r="D285" s="1">
        <f>Данные!C285</f>
        <v>45210</v>
      </c>
      <c r="F285">
        <v>2900000000</v>
      </c>
      <c r="G285">
        <v>2320000000</v>
      </c>
    </row>
    <row r="286" spans="1:7" x14ac:dyDescent="0.3">
      <c r="A286">
        <v>1392000000</v>
      </c>
      <c r="B286" s="5">
        <f>Данные!I286-Данные!H286</f>
        <v>770800000</v>
      </c>
      <c r="C286" s="5">
        <f>Данные!J286-Данные!I286</f>
        <v>49200000</v>
      </c>
      <c r="D286" s="1">
        <f>Данные!C286</f>
        <v>45211</v>
      </c>
      <c r="F286">
        <v>2900000000</v>
      </c>
      <c r="G286">
        <v>2320000000</v>
      </c>
    </row>
    <row r="287" spans="1:7" x14ac:dyDescent="0.3">
      <c r="A287">
        <v>1392000000</v>
      </c>
      <c r="B287" s="5">
        <f>Данные!I287-Данные!H287</f>
        <v>790800000</v>
      </c>
      <c r="C287" s="5">
        <f>Данные!J287-Данные!I287</f>
        <v>49200000</v>
      </c>
      <c r="D287" s="1">
        <f>Данные!C287</f>
        <v>45212</v>
      </c>
      <c r="F287">
        <v>2900000000</v>
      </c>
      <c r="G287">
        <v>2320000000</v>
      </c>
    </row>
    <row r="288" spans="1:7" x14ac:dyDescent="0.3">
      <c r="A288">
        <v>1392000000</v>
      </c>
      <c r="B288" s="5">
        <f>Данные!I288-Данные!H288</f>
        <v>810800000</v>
      </c>
      <c r="C288" s="5">
        <f>Данные!J288-Данные!I288</f>
        <v>49200000</v>
      </c>
      <c r="D288" s="1">
        <f>Данные!C288</f>
        <v>45213</v>
      </c>
      <c r="F288">
        <v>2900000000</v>
      </c>
      <c r="G288">
        <v>2320000000</v>
      </c>
    </row>
    <row r="289" spans="1:7" x14ac:dyDescent="0.3">
      <c r="A289">
        <v>1392000000</v>
      </c>
      <c r="B289" s="5">
        <f>Данные!I289-Данные!H289</f>
        <v>830800000</v>
      </c>
      <c r="C289" s="5">
        <f>Данные!J289-Данные!I289</f>
        <v>49200000</v>
      </c>
      <c r="D289" s="1">
        <f>Данные!C289</f>
        <v>45214</v>
      </c>
      <c r="F289">
        <v>2900000000</v>
      </c>
      <c r="G289">
        <v>2320000000</v>
      </c>
    </row>
    <row r="290" spans="1:7" x14ac:dyDescent="0.3">
      <c r="A290">
        <v>1392000000</v>
      </c>
      <c r="B290" s="5">
        <f>Данные!I290-Данные!H290</f>
        <v>850800000</v>
      </c>
      <c r="C290" s="5">
        <f>Данные!J290-Данные!I290</f>
        <v>49200000</v>
      </c>
      <c r="D290" s="1">
        <f>Данные!C290</f>
        <v>45215</v>
      </c>
      <c r="F290">
        <v>2900000000</v>
      </c>
      <c r="G290">
        <v>2320000000</v>
      </c>
    </row>
    <row r="291" spans="1:7" x14ac:dyDescent="0.3">
      <c r="A291">
        <v>1392000000</v>
      </c>
      <c r="B291" s="5">
        <f>Данные!I291-Данные!H291</f>
        <v>870800000</v>
      </c>
      <c r="C291" s="5">
        <f>Данные!J291-Данные!I291</f>
        <v>49200000</v>
      </c>
      <c r="D291" s="1">
        <f>Данные!C291</f>
        <v>45216</v>
      </c>
      <c r="F291">
        <v>2900000000</v>
      </c>
      <c r="G291">
        <v>2320000000</v>
      </c>
    </row>
    <row r="292" spans="1:7" x14ac:dyDescent="0.3">
      <c r="A292">
        <v>1392000000</v>
      </c>
      <c r="B292" s="5">
        <f>Данные!I292-Данные!H292</f>
        <v>890800000</v>
      </c>
      <c r="C292" s="5">
        <f>Данные!J292-Данные!I292</f>
        <v>49200000</v>
      </c>
      <c r="D292" s="1">
        <f>Данные!C292</f>
        <v>45217</v>
      </c>
      <c r="F292">
        <v>2900000000</v>
      </c>
      <c r="G292">
        <v>2320000000</v>
      </c>
    </row>
    <row r="293" spans="1:7" x14ac:dyDescent="0.3">
      <c r="A293">
        <v>1392000000</v>
      </c>
      <c r="B293" s="5">
        <f>Данные!I293-Данные!H293</f>
        <v>910800000</v>
      </c>
      <c r="C293" s="5">
        <f>Данные!J293-Данные!I293</f>
        <v>49200000</v>
      </c>
      <c r="D293" s="1">
        <f>Данные!C293</f>
        <v>45218</v>
      </c>
      <c r="F293">
        <v>2900000000</v>
      </c>
      <c r="G293">
        <v>2320000000</v>
      </c>
    </row>
    <row r="294" spans="1:7" x14ac:dyDescent="0.3">
      <c r="A294">
        <v>1392000000</v>
      </c>
      <c r="B294" s="5">
        <f>Данные!I294-Данные!H294</f>
        <v>930800000</v>
      </c>
      <c r="C294" s="5">
        <f>Данные!J294-Данные!I294</f>
        <v>49200000</v>
      </c>
      <c r="D294" s="1">
        <f>Данные!C294</f>
        <v>45219</v>
      </c>
      <c r="F294">
        <v>2900000000</v>
      </c>
      <c r="G294">
        <v>2320000000</v>
      </c>
    </row>
    <row r="295" spans="1:7" x14ac:dyDescent="0.3">
      <c r="A295">
        <v>1392000000</v>
      </c>
      <c r="B295" s="5">
        <f>Данные!I295-Данные!H295</f>
        <v>950800000</v>
      </c>
      <c r="C295" s="5">
        <f>Данные!J295-Данные!I295</f>
        <v>49200000</v>
      </c>
      <c r="D295" s="1">
        <f>Данные!C295</f>
        <v>45220</v>
      </c>
      <c r="F295">
        <v>2900000000</v>
      </c>
      <c r="G295">
        <v>2320000000</v>
      </c>
    </row>
    <row r="296" spans="1:7" x14ac:dyDescent="0.3">
      <c r="A296">
        <v>1392000000</v>
      </c>
      <c r="B296" s="5">
        <f>Данные!I296-Данные!H296</f>
        <v>970800000</v>
      </c>
      <c r="C296" s="5">
        <f>Данные!J296-Данные!I296</f>
        <v>49200000</v>
      </c>
      <c r="D296" s="1">
        <f>Данные!C296</f>
        <v>45221</v>
      </c>
      <c r="F296">
        <v>2900000000</v>
      </c>
      <c r="G296">
        <v>2320000000</v>
      </c>
    </row>
    <row r="297" spans="1:7" x14ac:dyDescent="0.3">
      <c r="A297">
        <v>1392000000</v>
      </c>
      <c r="B297" s="5">
        <f>Данные!I297-Данные!H297</f>
        <v>990800000</v>
      </c>
      <c r="C297" s="5">
        <f>Данные!J297-Данные!I297</f>
        <v>49200000</v>
      </c>
      <c r="D297" s="1">
        <f>Данные!C297</f>
        <v>45222</v>
      </c>
      <c r="F297">
        <v>2900000000</v>
      </c>
      <c r="G297">
        <v>2320000000</v>
      </c>
    </row>
    <row r="298" spans="1:7" x14ac:dyDescent="0.3">
      <c r="A298">
        <v>1392000000</v>
      </c>
      <c r="B298" s="5">
        <f>Данные!I298-Данные!H298</f>
        <v>1010800000</v>
      </c>
      <c r="C298" s="5">
        <f>Данные!J298-Данные!I298</f>
        <v>49200000</v>
      </c>
      <c r="D298" s="1">
        <f>Данные!C298</f>
        <v>45223</v>
      </c>
      <c r="F298">
        <v>2900000000</v>
      </c>
      <c r="G298">
        <v>2320000000</v>
      </c>
    </row>
    <row r="299" spans="1:7" x14ac:dyDescent="0.3">
      <c r="A299">
        <v>1392000000</v>
      </c>
      <c r="B299" s="5">
        <f>Данные!I299-Данные!H299</f>
        <v>1030800000</v>
      </c>
      <c r="C299" s="5">
        <f>Данные!J299-Данные!I299</f>
        <v>49200000</v>
      </c>
      <c r="D299" s="1">
        <f>Данные!C299</f>
        <v>45224</v>
      </c>
      <c r="F299">
        <v>2900000000</v>
      </c>
      <c r="G299">
        <v>2320000000</v>
      </c>
    </row>
    <row r="300" spans="1:7" x14ac:dyDescent="0.3">
      <c r="A300">
        <v>1392000000</v>
      </c>
      <c r="B300" s="5">
        <f>Данные!I300-Данные!H300</f>
        <v>1050800000</v>
      </c>
      <c r="C300" s="5">
        <f>Данные!J300-Данные!I300</f>
        <v>49200000</v>
      </c>
      <c r="D300" s="1">
        <f>Данные!C300</f>
        <v>45225</v>
      </c>
      <c r="F300">
        <v>2900000000</v>
      </c>
      <c r="G300">
        <v>2320000000</v>
      </c>
    </row>
    <row r="301" spans="1:7" x14ac:dyDescent="0.3">
      <c r="A301">
        <v>1392000000</v>
      </c>
      <c r="B301" s="5">
        <f>Данные!I301-Данные!H301</f>
        <v>1070800000</v>
      </c>
      <c r="C301" s="5">
        <f>Данные!J301-Данные!I301</f>
        <v>49200000</v>
      </c>
      <c r="D301" s="1">
        <f>Данные!C301</f>
        <v>45226</v>
      </c>
      <c r="F301">
        <v>2900000000</v>
      </c>
      <c r="G301">
        <v>2320000000</v>
      </c>
    </row>
    <row r="302" spans="1:7" x14ac:dyDescent="0.3">
      <c r="A302">
        <v>1392000000</v>
      </c>
      <c r="B302" s="5">
        <f>Данные!I302-Данные!H302</f>
        <v>1090800000</v>
      </c>
      <c r="C302" s="5">
        <f>Данные!J302-Данные!I302</f>
        <v>49200000</v>
      </c>
      <c r="D302" s="1">
        <f>Данные!C302</f>
        <v>45227</v>
      </c>
      <c r="F302">
        <v>2900000000</v>
      </c>
      <c r="G302">
        <v>2320000000</v>
      </c>
    </row>
    <row r="303" spans="1:7" x14ac:dyDescent="0.3">
      <c r="A303">
        <v>1392000000</v>
      </c>
      <c r="B303" s="5">
        <f>Данные!I303-Данные!H303</f>
        <v>1110800000</v>
      </c>
      <c r="C303" s="5">
        <f>Данные!J303-Данные!I303</f>
        <v>49200000</v>
      </c>
      <c r="D303" s="1">
        <f>Данные!C303</f>
        <v>45228</v>
      </c>
      <c r="F303">
        <v>2900000000</v>
      </c>
      <c r="G303">
        <v>2320000000</v>
      </c>
    </row>
    <row r="304" spans="1:7" x14ac:dyDescent="0.3">
      <c r="A304">
        <v>1392000000</v>
      </c>
      <c r="B304" s="5">
        <f>Данные!I304-Данные!H304</f>
        <v>1130800000</v>
      </c>
      <c r="C304" s="5">
        <f>Данные!J304-Данные!I304</f>
        <v>49200000</v>
      </c>
      <c r="D304" s="1">
        <f>Данные!C304</f>
        <v>45229</v>
      </c>
      <c r="F304">
        <v>2900000000</v>
      </c>
      <c r="G304">
        <v>2320000000</v>
      </c>
    </row>
    <row r="305" spans="1:7" x14ac:dyDescent="0.3">
      <c r="A305">
        <v>1392000000</v>
      </c>
      <c r="B305" s="5">
        <f>Данные!I305-Данные!H305</f>
        <v>1150800000</v>
      </c>
      <c r="C305" s="5">
        <f>Данные!J305-Данные!I305</f>
        <v>49200000</v>
      </c>
      <c r="D305" s="1">
        <f>Данные!C305</f>
        <v>45230</v>
      </c>
      <c r="F305">
        <v>2900000000</v>
      </c>
      <c r="G305">
        <v>2320000000</v>
      </c>
    </row>
    <row r="306" spans="1:7" x14ac:dyDescent="0.3">
      <c r="A306">
        <v>1392000000</v>
      </c>
      <c r="B306" s="5">
        <f>Данные!I306-Данные!H306</f>
        <v>1170800000</v>
      </c>
      <c r="C306" s="5">
        <f>Данные!J306-Данные!I306</f>
        <v>49200000</v>
      </c>
      <c r="D306" s="1">
        <f>Данные!C306</f>
        <v>45231</v>
      </c>
      <c r="F306">
        <v>2900000000</v>
      </c>
      <c r="G306">
        <v>2320000000</v>
      </c>
    </row>
    <row r="307" spans="1:7" x14ac:dyDescent="0.3">
      <c r="A307">
        <v>1392000000</v>
      </c>
      <c r="B307" s="5">
        <f>Данные!I307-Данные!H307</f>
        <v>1190800000</v>
      </c>
      <c r="C307" s="5">
        <f>Данные!J307-Данные!I307</f>
        <v>49200000</v>
      </c>
      <c r="D307" s="1">
        <f>Данные!C307</f>
        <v>45232</v>
      </c>
      <c r="F307">
        <v>2900000000</v>
      </c>
      <c r="G307">
        <v>2320000000</v>
      </c>
    </row>
    <row r="308" spans="1:7" x14ac:dyDescent="0.3">
      <c r="A308">
        <v>1392000000</v>
      </c>
      <c r="B308" s="5">
        <f>Данные!I308-Данные!H308</f>
        <v>1210800000</v>
      </c>
      <c r="C308" s="5">
        <f>Данные!J308-Данные!I308</f>
        <v>49200000</v>
      </c>
      <c r="D308" s="1">
        <f>Данные!C308</f>
        <v>45233</v>
      </c>
      <c r="F308">
        <v>2900000000</v>
      </c>
      <c r="G308">
        <v>2320000000</v>
      </c>
    </row>
    <row r="309" spans="1:7" x14ac:dyDescent="0.3">
      <c r="A309">
        <v>1392000000</v>
      </c>
      <c r="B309" s="5">
        <f>Данные!I309-Данные!H309</f>
        <v>1230800000</v>
      </c>
      <c r="C309" s="5">
        <f>Данные!J309-Данные!I309</f>
        <v>49200000</v>
      </c>
      <c r="D309" s="1">
        <f>Данные!C309</f>
        <v>45234</v>
      </c>
      <c r="F309">
        <v>2900000000</v>
      </c>
      <c r="G309">
        <v>2320000000</v>
      </c>
    </row>
    <row r="310" spans="1:7" x14ac:dyDescent="0.3">
      <c r="A310">
        <v>1392000000</v>
      </c>
      <c r="B310" s="5">
        <f>Данные!I310-Данные!H310</f>
        <v>1250800000</v>
      </c>
      <c r="C310" s="5">
        <f>Данные!J310-Данные!I310</f>
        <v>49200000</v>
      </c>
      <c r="D310" s="1">
        <f>Данные!C310</f>
        <v>45235</v>
      </c>
      <c r="F310">
        <v>2900000000</v>
      </c>
      <c r="G310">
        <v>2320000000</v>
      </c>
    </row>
    <row r="311" spans="1:7" x14ac:dyDescent="0.3">
      <c r="A311">
        <v>1392000000</v>
      </c>
      <c r="B311" s="5">
        <f>Данные!I311-Данные!H311</f>
        <v>1270800000</v>
      </c>
      <c r="C311" s="5">
        <f>Данные!J311-Данные!I311</f>
        <v>49200000</v>
      </c>
      <c r="D311" s="1">
        <f>Данные!C311</f>
        <v>45236</v>
      </c>
      <c r="F311">
        <v>2900000000</v>
      </c>
      <c r="G311">
        <v>2320000000</v>
      </c>
    </row>
    <row r="312" spans="1:7" x14ac:dyDescent="0.3">
      <c r="A312">
        <v>1392000000</v>
      </c>
      <c r="B312" s="5">
        <f>Данные!I312-Данные!H312</f>
        <v>1290800000</v>
      </c>
      <c r="C312" s="5">
        <f>Данные!J312-Данные!I312</f>
        <v>49200000</v>
      </c>
      <c r="D312" s="1">
        <f>Данные!C312</f>
        <v>45237</v>
      </c>
      <c r="F312">
        <v>2900000000</v>
      </c>
      <c r="G312">
        <v>2320000000</v>
      </c>
    </row>
    <row r="313" spans="1:7" x14ac:dyDescent="0.3">
      <c r="A313">
        <v>1392000000</v>
      </c>
      <c r="B313" s="5">
        <f>Данные!I313-Данные!H313</f>
        <v>1310800000</v>
      </c>
      <c r="C313" s="5">
        <f>Данные!J313-Данные!I313</f>
        <v>49200000</v>
      </c>
      <c r="D313" s="1">
        <f>Данные!C313</f>
        <v>45238</v>
      </c>
      <c r="F313">
        <v>2900000000</v>
      </c>
      <c r="G313">
        <v>2320000000</v>
      </c>
    </row>
    <row r="314" spans="1:7" x14ac:dyDescent="0.3">
      <c r="A314">
        <v>1392000000</v>
      </c>
      <c r="B314" s="5">
        <f>Данные!I314-Данные!H314</f>
        <v>1330800000</v>
      </c>
      <c r="C314" s="5">
        <f>Данные!J314-Данные!I314</f>
        <v>49200000</v>
      </c>
      <c r="D314" s="1">
        <f>Данные!C314</f>
        <v>45239</v>
      </c>
      <c r="F314">
        <v>2900000000</v>
      </c>
      <c r="G314">
        <v>2320000000</v>
      </c>
    </row>
    <row r="315" spans="1:7" x14ac:dyDescent="0.3">
      <c r="A315">
        <v>1392000000</v>
      </c>
      <c r="B315" s="5">
        <f>Данные!I315-Данные!H315</f>
        <v>1350800000</v>
      </c>
      <c r="C315" s="5">
        <f>Данные!J315-Данные!I315</f>
        <v>49200000</v>
      </c>
      <c r="D315" s="1">
        <f>Данные!C315</f>
        <v>45240</v>
      </c>
      <c r="F315">
        <v>2900000000</v>
      </c>
      <c r="G315">
        <v>2320000000</v>
      </c>
    </row>
    <row r="316" spans="1:7" x14ac:dyDescent="0.3">
      <c r="A316">
        <v>1392000000</v>
      </c>
      <c r="B316" s="5">
        <f>Данные!I316-Данные!H316</f>
        <v>1370800000</v>
      </c>
      <c r="C316" s="5">
        <f>Данные!J316-Данные!I316</f>
        <v>49200000</v>
      </c>
      <c r="D316" s="1">
        <f>Данные!C316</f>
        <v>45241</v>
      </c>
      <c r="F316">
        <v>2900000000</v>
      </c>
      <c r="G316">
        <v>2320000000</v>
      </c>
    </row>
    <row r="317" spans="1:7" x14ac:dyDescent="0.3">
      <c r="A317">
        <v>1392000000</v>
      </c>
      <c r="B317" s="5">
        <f>Данные!I317-Данные!H317</f>
        <v>1390800000</v>
      </c>
      <c r="C317" s="5">
        <f>Данные!J317-Данные!I317</f>
        <v>49200000</v>
      </c>
      <c r="D317" s="1">
        <f>Данные!C317</f>
        <v>45242</v>
      </c>
      <c r="F317">
        <v>2900000000</v>
      </c>
      <c r="G317">
        <v>2320000000</v>
      </c>
    </row>
    <row r="318" spans="1:7" x14ac:dyDescent="0.3">
      <c r="A318">
        <v>1392000000</v>
      </c>
      <c r="B318" s="5">
        <f>Данные!I318-Данные!H318</f>
        <v>1410800000</v>
      </c>
      <c r="C318" s="5">
        <f>Данные!J318-Данные!I318</f>
        <v>49200000</v>
      </c>
      <c r="D318" s="1">
        <f>Данные!C318</f>
        <v>45243</v>
      </c>
      <c r="F318">
        <v>2900000000</v>
      </c>
      <c r="G318">
        <v>2320000000</v>
      </c>
    </row>
    <row r="319" spans="1:7" x14ac:dyDescent="0.3">
      <c r="A319">
        <v>1392000000</v>
      </c>
      <c r="B319" s="5">
        <f>Данные!I319-Данные!H319</f>
        <v>1430800000</v>
      </c>
      <c r="C319" s="5">
        <f>Данные!J319-Данные!I319</f>
        <v>49200000</v>
      </c>
      <c r="D319" s="1">
        <f>Данные!C319</f>
        <v>45244</v>
      </c>
      <c r="F319">
        <v>2900000000</v>
      </c>
      <c r="G319">
        <v>2320000000</v>
      </c>
    </row>
    <row r="320" spans="1:7" x14ac:dyDescent="0.3">
      <c r="A320">
        <v>1392000000</v>
      </c>
      <c r="B320" s="5">
        <f>Данные!I320-Данные!H320</f>
        <v>1450800000</v>
      </c>
      <c r="C320" s="5">
        <f>Данные!J320-Данные!I320</f>
        <v>49200000</v>
      </c>
      <c r="D320" s="1">
        <f>Данные!C320</f>
        <v>45245</v>
      </c>
      <c r="F320">
        <v>2900000000</v>
      </c>
      <c r="G320">
        <v>2320000000</v>
      </c>
    </row>
    <row r="321" spans="1:7" x14ac:dyDescent="0.3">
      <c r="A321">
        <v>1392000000</v>
      </c>
      <c r="B321" s="5">
        <f>Данные!I321-Данные!H321</f>
        <v>1470800000</v>
      </c>
      <c r="C321" s="5">
        <f>Данные!J321-Данные!I321</f>
        <v>37200000</v>
      </c>
      <c r="D321" s="1">
        <f>Данные!C321</f>
        <v>45246</v>
      </c>
      <c r="F321">
        <v>2900000000</v>
      </c>
      <c r="G321">
        <v>2320000000</v>
      </c>
    </row>
    <row r="322" spans="1:7" x14ac:dyDescent="0.3">
      <c r="A322">
        <v>1392000000</v>
      </c>
      <c r="B322" s="5">
        <f>Данные!I322-Данные!H322</f>
        <v>1490800000</v>
      </c>
      <c r="C322" s="5">
        <f>Данные!J322-Данные!I322</f>
        <v>17200000</v>
      </c>
      <c r="D322" s="1">
        <f>Данные!C322</f>
        <v>45247</v>
      </c>
      <c r="F322">
        <v>2900000000</v>
      </c>
      <c r="G322">
        <v>2320000000</v>
      </c>
    </row>
    <row r="323" spans="1:7" x14ac:dyDescent="0.3">
      <c r="A323">
        <v>1392000000</v>
      </c>
      <c r="B323" s="5">
        <f>Данные!I323-Данные!H323</f>
        <v>1508000000</v>
      </c>
      <c r="C323" s="5">
        <f>Данные!J323-Данные!I323</f>
        <v>0</v>
      </c>
      <c r="D323" s="1">
        <f>Данные!C323</f>
        <v>45248</v>
      </c>
      <c r="F323">
        <v>2900000000</v>
      </c>
      <c r="G323">
        <v>2320000000</v>
      </c>
    </row>
    <row r="324" spans="1:7" x14ac:dyDescent="0.3">
      <c r="A324">
        <v>1396000000</v>
      </c>
      <c r="B324" s="5">
        <f>Данные!I324-Данные!H324</f>
        <v>1504000000</v>
      </c>
      <c r="C324" s="5">
        <f>Данные!J324-Данные!I324</f>
        <v>0</v>
      </c>
      <c r="D324" s="1">
        <f>Данные!C324</f>
        <v>45249</v>
      </c>
      <c r="F324">
        <v>2900000000</v>
      </c>
      <c r="G324">
        <v>2320000000</v>
      </c>
    </row>
    <row r="325" spans="1:7" x14ac:dyDescent="0.3">
      <c r="A325">
        <v>1418000000</v>
      </c>
      <c r="B325" s="5">
        <f>Данные!I325-Данные!H325</f>
        <v>1482000000</v>
      </c>
      <c r="C325" s="5">
        <f>Данные!J325-Данные!I325</f>
        <v>0</v>
      </c>
      <c r="D325" s="1">
        <f>Данные!C325</f>
        <v>45250</v>
      </c>
      <c r="F325">
        <v>2900000000</v>
      </c>
      <c r="G325">
        <v>2320000000</v>
      </c>
    </row>
    <row r="326" spans="1:7" x14ac:dyDescent="0.3">
      <c r="A326">
        <v>1440000000</v>
      </c>
      <c r="B326" s="5">
        <f>Данные!I326-Данные!H326</f>
        <v>1460000000</v>
      </c>
      <c r="C326" s="5">
        <f>Данные!J326-Данные!I326</f>
        <v>0</v>
      </c>
      <c r="D326" s="1">
        <f>Данные!C326</f>
        <v>45251</v>
      </c>
      <c r="F326">
        <v>2900000000</v>
      </c>
      <c r="G326">
        <v>2320000000</v>
      </c>
    </row>
    <row r="327" spans="1:7" x14ac:dyDescent="0.3">
      <c r="A327">
        <v>1462000000</v>
      </c>
      <c r="B327" s="5">
        <f>Данные!I327-Данные!H327</f>
        <v>1438000000</v>
      </c>
      <c r="C327" s="5">
        <f>Данные!J327-Данные!I327</f>
        <v>0</v>
      </c>
      <c r="D327" s="1">
        <f>Данные!C327</f>
        <v>45252</v>
      </c>
      <c r="F327">
        <v>2900000000</v>
      </c>
      <c r="G327">
        <v>2320000000</v>
      </c>
    </row>
    <row r="328" spans="1:7" x14ac:dyDescent="0.3">
      <c r="A328">
        <v>1484000000</v>
      </c>
      <c r="B328" s="5">
        <f>Данные!I328-Данные!H328</f>
        <v>1416000000</v>
      </c>
      <c r="C328" s="5">
        <f>Данные!J328-Данные!I328</f>
        <v>0</v>
      </c>
      <c r="D328" s="1">
        <f>Данные!C328</f>
        <v>45253</v>
      </c>
      <c r="F328">
        <v>2900000000</v>
      </c>
      <c r="G328">
        <v>2320000000</v>
      </c>
    </row>
    <row r="329" spans="1:7" x14ac:dyDescent="0.3">
      <c r="A329">
        <v>1506000000</v>
      </c>
      <c r="B329" s="5">
        <f>Данные!I329-Данные!H329</f>
        <v>1394000000</v>
      </c>
      <c r="C329" s="5">
        <f>Данные!J329-Данные!I329</f>
        <v>0</v>
      </c>
      <c r="D329" s="1">
        <f>Данные!C329</f>
        <v>45254</v>
      </c>
      <c r="F329">
        <v>2900000000</v>
      </c>
      <c r="G329">
        <v>2320000000</v>
      </c>
    </row>
    <row r="330" spans="1:7" x14ac:dyDescent="0.3">
      <c r="A330">
        <v>1528000000</v>
      </c>
      <c r="B330" s="5">
        <f>Данные!I330-Данные!H330</f>
        <v>1372000000</v>
      </c>
      <c r="C330" s="5">
        <f>Данные!J330-Данные!I330</f>
        <v>0</v>
      </c>
      <c r="D330" s="1">
        <f>Данные!C330</f>
        <v>45255</v>
      </c>
      <c r="F330">
        <v>2900000000</v>
      </c>
      <c r="G330">
        <v>2320000000</v>
      </c>
    </row>
    <row r="331" spans="1:7" x14ac:dyDescent="0.3">
      <c r="A331">
        <v>1550000000</v>
      </c>
      <c r="B331" s="5">
        <f>Данные!I331-Данные!H331</f>
        <v>1350000000</v>
      </c>
      <c r="C331" s="5">
        <f>Данные!J331-Данные!I331</f>
        <v>0</v>
      </c>
      <c r="D331" s="1">
        <f>Данные!C331</f>
        <v>45256</v>
      </c>
      <c r="F331">
        <v>2900000000</v>
      </c>
      <c r="G331">
        <v>2320000000</v>
      </c>
    </row>
    <row r="332" spans="1:7" x14ac:dyDescent="0.3">
      <c r="A332">
        <v>1572000000</v>
      </c>
      <c r="B332" s="5">
        <f>Данные!I332-Данные!H332</f>
        <v>1328000000</v>
      </c>
      <c r="C332" s="5">
        <f>Данные!J332-Данные!I332</f>
        <v>0</v>
      </c>
      <c r="D332" s="1">
        <f>Данные!C332</f>
        <v>45257</v>
      </c>
      <c r="F332">
        <v>2900000000</v>
      </c>
      <c r="G332">
        <v>2320000000</v>
      </c>
    </row>
    <row r="333" spans="1:7" x14ac:dyDescent="0.3">
      <c r="A333">
        <v>1594000000</v>
      </c>
      <c r="B333" s="5">
        <f>Данные!I333-Данные!H333</f>
        <v>1306000000</v>
      </c>
      <c r="C333" s="5">
        <f>Данные!J333-Данные!I333</f>
        <v>0</v>
      </c>
      <c r="D333" s="1">
        <f>Данные!C333</f>
        <v>45258</v>
      </c>
      <c r="F333">
        <v>2900000000</v>
      </c>
      <c r="G333">
        <v>2320000000</v>
      </c>
    </row>
    <row r="334" spans="1:7" x14ac:dyDescent="0.3">
      <c r="A334">
        <v>1616000000</v>
      </c>
      <c r="B334" s="5">
        <f>Данные!I334-Данные!H334</f>
        <v>1284000000</v>
      </c>
      <c r="C334" s="5">
        <f>Данные!J334-Данные!I334</f>
        <v>0</v>
      </c>
      <c r="D334" s="1">
        <f>Данные!C334</f>
        <v>45259</v>
      </c>
      <c r="F334">
        <v>2900000000</v>
      </c>
      <c r="G334">
        <v>2320000000</v>
      </c>
    </row>
    <row r="335" spans="1:7" x14ac:dyDescent="0.3">
      <c r="A335">
        <v>1638000000</v>
      </c>
      <c r="B335" s="5">
        <f>Данные!I335-Данные!H335</f>
        <v>1262000000</v>
      </c>
      <c r="C335" s="5">
        <f>Данные!J335-Данные!I335</f>
        <v>0</v>
      </c>
      <c r="D335" s="1">
        <f>Данные!C335</f>
        <v>45260</v>
      </c>
      <c r="F335">
        <v>2900000000</v>
      </c>
      <c r="G335">
        <v>2320000000</v>
      </c>
    </row>
    <row r="336" spans="1:7" x14ac:dyDescent="0.3">
      <c r="A336">
        <v>1660000000</v>
      </c>
      <c r="B336" s="5">
        <f>Данные!I336-Данные!H336</f>
        <v>1240000000</v>
      </c>
      <c r="C336" s="5">
        <f>Данные!J336-Данные!I336</f>
        <v>0</v>
      </c>
      <c r="D336" s="1">
        <f>Данные!C336</f>
        <v>45261</v>
      </c>
      <c r="F336">
        <v>2900000000</v>
      </c>
      <c r="G336">
        <v>2320000000</v>
      </c>
    </row>
    <row r="337" spans="1:7" x14ac:dyDescent="0.3">
      <c r="A337">
        <v>1682000000</v>
      </c>
      <c r="B337" s="5">
        <f>Данные!I337-Данные!H337</f>
        <v>1218000000</v>
      </c>
      <c r="C337" s="5">
        <f>Данные!J337-Данные!I337</f>
        <v>0</v>
      </c>
      <c r="D337" s="1">
        <f>Данные!C337</f>
        <v>45262</v>
      </c>
      <c r="F337">
        <v>2900000000</v>
      </c>
      <c r="G337">
        <v>2320000000</v>
      </c>
    </row>
    <row r="338" spans="1:7" x14ac:dyDescent="0.3">
      <c r="A338">
        <v>1704000000</v>
      </c>
      <c r="B338" s="5">
        <f>Данные!I338-Данные!H338</f>
        <v>1196000000</v>
      </c>
      <c r="C338" s="5">
        <f>Данные!J338-Данные!I338</f>
        <v>0</v>
      </c>
      <c r="D338" s="1">
        <f>Данные!C338</f>
        <v>45263</v>
      </c>
      <c r="F338">
        <v>2900000000</v>
      </c>
      <c r="G338">
        <v>2320000000</v>
      </c>
    </row>
    <row r="339" spans="1:7" x14ac:dyDescent="0.3">
      <c r="A339">
        <v>1726000000</v>
      </c>
      <c r="B339" s="5">
        <f>Данные!I339-Данные!H339</f>
        <v>1174000000</v>
      </c>
      <c r="C339" s="5">
        <f>Данные!J339-Данные!I339</f>
        <v>0</v>
      </c>
      <c r="D339" s="1">
        <f>Данные!C339</f>
        <v>45264</v>
      </c>
      <c r="F339">
        <v>2900000000</v>
      </c>
      <c r="G339">
        <v>2320000000</v>
      </c>
    </row>
    <row r="340" spans="1:7" x14ac:dyDescent="0.3">
      <c r="A340">
        <v>1748000000</v>
      </c>
      <c r="B340" s="5">
        <f>Данные!I340-Данные!H340</f>
        <v>1152000000</v>
      </c>
      <c r="C340" s="5">
        <f>Данные!J340-Данные!I340</f>
        <v>0</v>
      </c>
      <c r="D340" s="1">
        <f>Данные!C340</f>
        <v>45265</v>
      </c>
      <c r="F340">
        <v>2900000000</v>
      </c>
      <c r="G340">
        <v>2320000000</v>
      </c>
    </row>
    <row r="341" spans="1:7" x14ac:dyDescent="0.3">
      <c r="A341">
        <v>1770000000</v>
      </c>
      <c r="B341" s="5">
        <f>Данные!I341-Данные!H341</f>
        <v>1130000000</v>
      </c>
      <c r="C341" s="5">
        <f>Данные!J341-Данные!I341</f>
        <v>0</v>
      </c>
      <c r="D341" s="1">
        <f>Данные!C341</f>
        <v>45266</v>
      </c>
      <c r="F341">
        <v>2900000000</v>
      </c>
      <c r="G341">
        <v>2320000000</v>
      </c>
    </row>
    <row r="342" spans="1:7" x14ac:dyDescent="0.3">
      <c r="A342">
        <v>1792000000</v>
      </c>
      <c r="B342" s="5">
        <f>Данные!I342-Данные!H342</f>
        <v>1108000000</v>
      </c>
      <c r="C342" s="5">
        <f>Данные!J342-Данные!I342</f>
        <v>0</v>
      </c>
      <c r="D342" s="1">
        <f>Данные!C342</f>
        <v>45267</v>
      </c>
      <c r="F342">
        <v>2900000000</v>
      </c>
      <c r="G342">
        <v>2320000000</v>
      </c>
    </row>
    <row r="343" spans="1:7" x14ac:dyDescent="0.3">
      <c r="A343">
        <v>1814000000</v>
      </c>
      <c r="B343" s="5">
        <f>Данные!I343-Данные!H343</f>
        <v>1086000000</v>
      </c>
      <c r="C343" s="5">
        <f>Данные!J343-Данные!I343</f>
        <v>0</v>
      </c>
      <c r="D343" s="1">
        <f>Данные!C343</f>
        <v>45268</v>
      </c>
      <c r="F343">
        <v>2900000000</v>
      </c>
      <c r="G343">
        <v>2320000000</v>
      </c>
    </row>
    <row r="344" spans="1:7" x14ac:dyDescent="0.3">
      <c r="A344">
        <v>1836000000</v>
      </c>
      <c r="B344" s="5">
        <f>Данные!I344-Данные!H344</f>
        <v>1064000000</v>
      </c>
      <c r="C344" s="5">
        <f>Данные!J344-Данные!I344</f>
        <v>0</v>
      </c>
      <c r="D344" s="1">
        <f>Данные!C344</f>
        <v>45269</v>
      </c>
      <c r="F344">
        <v>2900000000</v>
      </c>
      <c r="G344">
        <v>2320000000</v>
      </c>
    </row>
    <row r="345" spans="1:7" x14ac:dyDescent="0.3">
      <c r="A345">
        <v>1858000000</v>
      </c>
      <c r="B345" s="5">
        <f>Данные!I345-Данные!H345</f>
        <v>1042000000</v>
      </c>
      <c r="C345" s="5">
        <f>Данные!J345-Данные!I345</f>
        <v>0</v>
      </c>
      <c r="D345" s="1">
        <f>Данные!C345</f>
        <v>45270</v>
      </c>
      <c r="F345">
        <v>2900000000</v>
      </c>
      <c r="G345">
        <v>2320000000</v>
      </c>
    </row>
    <row r="346" spans="1:7" x14ac:dyDescent="0.3">
      <c r="A346">
        <v>1880000000</v>
      </c>
      <c r="B346" s="5">
        <f>Данные!I346-Данные!H346</f>
        <v>1020000000</v>
      </c>
      <c r="C346" s="5">
        <f>Данные!J346-Данные!I346</f>
        <v>0</v>
      </c>
      <c r="D346" s="1">
        <f>Данные!C346</f>
        <v>45271</v>
      </c>
      <c r="F346">
        <v>2900000000</v>
      </c>
      <c r="G346">
        <v>2320000000</v>
      </c>
    </row>
    <row r="347" spans="1:7" x14ac:dyDescent="0.3">
      <c r="A347">
        <v>1902000000</v>
      </c>
      <c r="B347" s="5">
        <f>Данные!I347-Данные!H347</f>
        <v>998000000</v>
      </c>
      <c r="C347" s="5">
        <f>Данные!J347-Данные!I347</f>
        <v>0</v>
      </c>
      <c r="D347" s="1">
        <f>Данные!C347</f>
        <v>45272</v>
      </c>
      <c r="F347">
        <v>2900000000</v>
      </c>
      <c r="G347">
        <v>2320000000</v>
      </c>
    </row>
    <row r="348" spans="1:7" x14ac:dyDescent="0.3">
      <c r="A348">
        <v>1924000000</v>
      </c>
      <c r="B348" s="5">
        <f>Данные!I348-Данные!H348</f>
        <v>976000000</v>
      </c>
      <c r="C348" s="5">
        <f>Данные!J348-Данные!I348</f>
        <v>0</v>
      </c>
      <c r="D348" s="1">
        <f>Данные!C348</f>
        <v>45273</v>
      </c>
      <c r="F348">
        <v>2900000000</v>
      </c>
      <c r="G348">
        <v>2320000000</v>
      </c>
    </row>
    <row r="349" spans="1:7" x14ac:dyDescent="0.3">
      <c r="A349">
        <v>1946000000</v>
      </c>
      <c r="B349" s="5">
        <f>Данные!I349-Данные!H349</f>
        <v>954000000</v>
      </c>
      <c r="C349" s="5">
        <f>Данные!J349-Данные!I349</f>
        <v>0</v>
      </c>
      <c r="D349" s="1">
        <f>Данные!C349</f>
        <v>45274</v>
      </c>
      <c r="F349">
        <v>2900000000</v>
      </c>
      <c r="G349">
        <v>2320000000</v>
      </c>
    </row>
    <row r="350" spans="1:7" x14ac:dyDescent="0.3">
      <c r="A350">
        <v>1968000000</v>
      </c>
      <c r="B350" s="5">
        <f>Данные!I350-Данные!H350</f>
        <v>932000000</v>
      </c>
      <c r="C350" s="5">
        <f>Данные!J350-Данные!I350</f>
        <v>0</v>
      </c>
      <c r="D350" s="1">
        <f>Данные!C350</f>
        <v>45275</v>
      </c>
      <c r="F350">
        <v>2900000000</v>
      </c>
      <c r="G350">
        <v>2320000000</v>
      </c>
    </row>
    <row r="351" spans="1:7" x14ac:dyDescent="0.3">
      <c r="A351">
        <v>1990000000</v>
      </c>
      <c r="B351" s="5">
        <f>Данные!I351-Данные!H351</f>
        <v>910000000</v>
      </c>
      <c r="C351" s="5">
        <f>Данные!J351-Данные!I351</f>
        <v>0</v>
      </c>
      <c r="D351" s="1">
        <f>Данные!C351</f>
        <v>45276</v>
      </c>
      <c r="F351">
        <v>2900000000</v>
      </c>
      <c r="G351">
        <v>2320000000</v>
      </c>
    </row>
    <row r="352" spans="1:7" x14ac:dyDescent="0.3">
      <c r="A352">
        <v>2012000000</v>
      </c>
      <c r="B352" s="5">
        <f>Данные!I352-Данные!H352</f>
        <v>888000000</v>
      </c>
      <c r="C352" s="5">
        <f>Данные!J352-Данные!I352</f>
        <v>0</v>
      </c>
      <c r="D352" s="1">
        <f>Данные!C352</f>
        <v>45277</v>
      </c>
      <c r="F352">
        <v>2900000000</v>
      </c>
      <c r="G352">
        <v>2320000000</v>
      </c>
    </row>
    <row r="353" spans="1:7" x14ac:dyDescent="0.3">
      <c r="A353">
        <v>2034000000</v>
      </c>
      <c r="B353" s="5">
        <f>Данные!I353-Данные!H353</f>
        <v>866000000</v>
      </c>
      <c r="C353" s="5">
        <f>Данные!J353-Данные!I353</f>
        <v>0</v>
      </c>
      <c r="D353" s="1">
        <f>Данные!C353</f>
        <v>45278</v>
      </c>
      <c r="F353">
        <v>2900000000</v>
      </c>
      <c r="G353">
        <v>2320000000</v>
      </c>
    </row>
    <row r="354" spans="1:7" x14ac:dyDescent="0.3">
      <c r="A354">
        <v>2056000000</v>
      </c>
      <c r="B354" s="5">
        <f>Данные!I354-Данные!H354</f>
        <v>844000000</v>
      </c>
      <c r="C354" s="5">
        <f>Данные!J354-Данные!I354</f>
        <v>0</v>
      </c>
      <c r="D354" s="1">
        <f>Данные!C354</f>
        <v>45279</v>
      </c>
      <c r="F354">
        <v>2900000000</v>
      </c>
      <c r="G354">
        <v>2320000000</v>
      </c>
    </row>
    <row r="355" spans="1:7" x14ac:dyDescent="0.3">
      <c r="A355">
        <v>2078000000</v>
      </c>
      <c r="B355" s="5">
        <f>Данные!I355-Данные!H355</f>
        <v>822000000</v>
      </c>
      <c r="C355" s="5">
        <f>Данные!J355-Данные!I355</f>
        <v>0</v>
      </c>
      <c r="D355" s="1">
        <f>Данные!C355</f>
        <v>45280</v>
      </c>
      <c r="F355">
        <v>2900000000</v>
      </c>
      <c r="G355">
        <v>2320000000</v>
      </c>
    </row>
    <row r="356" spans="1:7" x14ac:dyDescent="0.3">
      <c r="A356">
        <v>2100000000</v>
      </c>
      <c r="B356" s="5">
        <f>Данные!I356-Данные!H356</f>
        <v>800000000</v>
      </c>
      <c r="C356" s="5">
        <f>Данные!J356-Данные!I356</f>
        <v>0</v>
      </c>
      <c r="D356" s="1">
        <f>Данные!C356</f>
        <v>45281</v>
      </c>
      <c r="F356">
        <v>2900000000</v>
      </c>
      <c r="G356">
        <v>2320000000</v>
      </c>
    </row>
    <row r="357" spans="1:7" x14ac:dyDescent="0.3">
      <c r="A357">
        <v>2122000000</v>
      </c>
      <c r="B357" s="5">
        <f>Данные!I357-Данные!H357</f>
        <v>778000000</v>
      </c>
      <c r="C357" s="5">
        <f>Данные!J357-Данные!I357</f>
        <v>0</v>
      </c>
      <c r="D357" s="1">
        <f>Данные!C357</f>
        <v>45282</v>
      </c>
      <c r="F357">
        <v>2900000000</v>
      </c>
      <c r="G357">
        <v>2320000000</v>
      </c>
    </row>
    <row r="358" spans="1:7" x14ac:dyDescent="0.3">
      <c r="A358">
        <v>2144000000</v>
      </c>
      <c r="B358" s="5">
        <f>Данные!I358-Данные!H358</f>
        <v>756000000</v>
      </c>
      <c r="C358" s="5">
        <f>Данные!J358-Данные!I358</f>
        <v>0</v>
      </c>
      <c r="D358" s="1">
        <f>Данные!C358</f>
        <v>45283</v>
      </c>
      <c r="F358">
        <v>2900000000</v>
      </c>
      <c r="G358">
        <v>2320000000</v>
      </c>
    </row>
    <row r="359" spans="1:7" x14ac:dyDescent="0.3">
      <c r="A359">
        <v>2166000000</v>
      </c>
      <c r="B359" s="5">
        <f>Данные!I359-Данные!H359</f>
        <v>734000000</v>
      </c>
      <c r="C359" s="5">
        <f>Данные!J359-Данные!I359</f>
        <v>0</v>
      </c>
      <c r="D359" s="1">
        <f>Данные!C359</f>
        <v>45284</v>
      </c>
      <c r="F359">
        <v>2900000000</v>
      </c>
      <c r="G359">
        <v>2320000000</v>
      </c>
    </row>
    <row r="360" spans="1:7" x14ac:dyDescent="0.3">
      <c r="A360">
        <v>2188000000</v>
      </c>
      <c r="B360" s="5">
        <f>Данные!I360-Данные!H360</f>
        <v>712000000</v>
      </c>
      <c r="C360" s="5">
        <f>Данные!J360-Данные!I360</f>
        <v>0</v>
      </c>
      <c r="D360" s="1">
        <f>Данные!C360</f>
        <v>45285</v>
      </c>
      <c r="F360">
        <v>2900000000</v>
      </c>
      <c r="G360">
        <v>2320000000</v>
      </c>
    </row>
    <row r="361" spans="1:7" x14ac:dyDescent="0.3">
      <c r="A361">
        <v>2210000000</v>
      </c>
      <c r="B361" s="5">
        <f>Данные!I361-Данные!H361</f>
        <v>690000000</v>
      </c>
      <c r="C361" s="5">
        <f>Данные!J361-Данные!I361</f>
        <v>0</v>
      </c>
      <c r="D361" s="1">
        <f>Данные!C361</f>
        <v>45286</v>
      </c>
      <c r="F361">
        <v>2900000000</v>
      </c>
      <c r="G361">
        <v>2320000000</v>
      </c>
    </row>
    <row r="362" spans="1:7" x14ac:dyDescent="0.3">
      <c r="A362">
        <v>2232000000</v>
      </c>
      <c r="B362" s="5">
        <f>Данные!I362-Данные!H362</f>
        <v>668000000</v>
      </c>
      <c r="C362" s="5">
        <f>Данные!J362-Данные!I362</f>
        <v>0</v>
      </c>
      <c r="D362" s="1">
        <f>Данные!C362</f>
        <v>45287</v>
      </c>
      <c r="F362">
        <v>2900000000</v>
      </c>
      <c r="G362">
        <v>2320000000</v>
      </c>
    </row>
    <row r="363" spans="1:7" x14ac:dyDescent="0.3">
      <c r="A363">
        <v>2254000000</v>
      </c>
      <c r="B363" s="5">
        <f>Данные!I363-Данные!H363</f>
        <v>646000000</v>
      </c>
      <c r="C363" s="5">
        <f>Данные!J363-Данные!I363</f>
        <v>0</v>
      </c>
      <c r="D363" s="1">
        <f>Данные!C363</f>
        <v>45288</v>
      </c>
      <c r="F363">
        <v>2900000000</v>
      </c>
      <c r="G363">
        <v>2320000000</v>
      </c>
    </row>
    <row r="364" spans="1:7" x14ac:dyDescent="0.3">
      <c r="A364">
        <v>2276000000</v>
      </c>
      <c r="B364" s="5">
        <f>Данные!I364-Данные!H364</f>
        <v>624000000</v>
      </c>
      <c r="C364" s="5">
        <f>Данные!J364-Данные!I364</f>
        <v>0</v>
      </c>
      <c r="D364" s="1">
        <f>Данные!C364</f>
        <v>45289</v>
      </c>
      <c r="F364">
        <v>2900000000</v>
      </c>
      <c r="G364">
        <v>2320000000</v>
      </c>
    </row>
    <row r="365" spans="1:7" x14ac:dyDescent="0.3">
      <c r="A365">
        <v>2298000000</v>
      </c>
      <c r="B365" s="5">
        <f>Данные!I365-Данные!H365</f>
        <v>602000000</v>
      </c>
      <c r="C365" s="5">
        <f>Данные!J365-Данные!I365</f>
        <v>0</v>
      </c>
      <c r="D365" s="1">
        <f>Данные!C365</f>
        <v>45290</v>
      </c>
      <c r="F365">
        <v>2900000000</v>
      </c>
      <c r="G365">
        <v>2320000000</v>
      </c>
    </row>
    <row r="366" spans="1:7" x14ac:dyDescent="0.3">
      <c r="A366">
        <v>2320000000</v>
      </c>
      <c r="B366" s="5">
        <f>Данные!I366-Данные!H366</f>
        <v>580000000</v>
      </c>
      <c r="C366" s="5">
        <f>Данные!J366-Данные!I366</f>
        <v>0</v>
      </c>
      <c r="D366" s="1">
        <f>Данные!C366</f>
        <v>45291</v>
      </c>
      <c r="F366">
        <v>2900000000</v>
      </c>
      <c r="G366">
        <v>2320000000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График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Levchenko Aleksey R.</dc:creator>
  <cp:lastModifiedBy>Левченко Алексей Радмирович</cp:lastModifiedBy>
  <dcterms:created xsi:type="dcterms:W3CDTF">2015-06-05T18:17:20Z</dcterms:created>
  <dcterms:modified xsi:type="dcterms:W3CDTF">2026-08-21T12:08:33Z</dcterms:modified>
</cp:coreProperties>
</file>